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gvsetin-my.sharepoint.com/personal/filip_senkerik_mgvsetin_cz/Documents/Přípravy/1 ročník + kvinta/27 Týden - Hromadné zpracování dat - Všech 10 příprav/02) Adresace buněk/"/>
    </mc:Choice>
  </mc:AlternateContent>
  <xr:revisionPtr revIDLastSave="72" documentId="11_E42F87448FF3DC34E80088279AB80874DD74E5A9" xr6:coauthVersionLast="47" xr6:coauthVersionMax="47" xr10:uidLastSave="{E1076D30-FB92-433C-834E-4E7250345902}"/>
  <bookViews>
    <workbookView xWindow="-110" yWindow="-110" windowWidth="25820" windowHeight="15500" tabRatio="500" activeTab="7" xr2:uid="{00000000-000D-0000-FFFF-FFFF00000000}"/>
  </bookViews>
  <sheets>
    <sheet name="Pokyny" sheetId="1" r:id="rId1"/>
    <sheet name="Klíč" sheetId="2" r:id="rId2"/>
    <sheet name="Úkol 1" sheetId="3" r:id="rId3"/>
    <sheet name="Úkol 2" sheetId="4" r:id="rId4"/>
    <sheet name="Úkol 3" sheetId="5" r:id="rId5"/>
    <sheet name="Úkol 4" sheetId="6" r:id="rId6"/>
    <sheet name="Úkol 5" sheetId="7" r:id="rId7"/>
    <sheet name="Úkol 6" sheetId="8" r:id="rId8"/>
  </sheets>
  <definedNames>
    <definedName name="_xlnm.Print_Area" localSheetId="0">Pokyny!$A$1:$H$30</definedName>
    <definedName name="_xlnm.Print_Area" localSheetId="2">'Úkol 1'!$A$1:$F$22</definedName>
    <definedName name="_xlnm.Print_Area" localSheetId="3">'Úkol 2'!$A$1:$G$27</definedName>
    <definedName name="_xlnm.Print_Area" localSheetId="4">'Úkol 3'!$A$1:$I$27</definedName>
    <definedName name="_xlnm.Print_Area" localSheetId="5">'Úkol 4'!$A$1:$J$24</definedName>
    <definedName name="_xlnm.Print_Area" localSheetId="6">'Úkol 5'!$A$1:$R$26</definedName>
    <definedName name="_xlnm.Print_Area" localSheetId="7">'Úkol 6'!$A$1:$J$30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8" l="1"/>
  <c r="F12" i="8" s="1"/>
  <c r="E13" i="8"/>
  <c r="F13" i="8" s="1"/>
  <c r="E14" i="8"/>
  <c r="F14" i="8" s="1"/>
  <c r="E15" i="8"/>
  <c r="F15" i="8" s="1"/>
  <c r="E16" i="8"/>
  <c r="F16" i="8" s="1"/>
  <c r="E17" i="8"/>
  <c r="F17" i="8" s="1"/>
  <c r="E18" i="8"/>
  <c r="F18" i="8" s="1"/>
  <c r="E11" i="8"/>
  <c r="F11" i="8" s="1"/>
  <c r="J15" i="7"/>
  <c r="E9" i="7"/>
  <c r="F9" i="7"/>
  <c r="G9" i="7"/>
  <c r="H9" i="7"/>
  <c r="I9" i="7"/>
  <c r="J9" i="7"/>
  <c r="E10" i="7"/>
  <c r="F10" i="7"/>
  <c r="G10" i="7"/>
  <c r="H10" i="7"/>
  <c r="I10" i="7"/>
  <c r="J10" i="7"/>
  <c r="E11" i="7"/>
  <c r="F11" i="7"/>
  <c r="G11" i="7"/>
  <c r="H11" i="7"/>
  <c r="I11" i="7"/>
  <c r="J11" i="7"/>
  <c r="E12" i="7"/>
  <c r="F12" i="7"/>
  <c r="G12" i="7"/>
  <c r="H12" i="7"/>
  <c r="I12" i="7"/>
  <c r="J12" i="7"/>
  <c r="E13" i="7"/>
  <c r="F13" i="7"/>
  <c r="G13" i="7"/>
  <c r="H13" i="7"/>
  <c r="I13" i="7"/>
  <c r="J13" i="7"/>
  <c r="E14" i="7"/>
  <c r="F14" i="7"/>
  <c r="G14" i="7"/>
  <c r="H14" i="7"/>
  <c r="I14" i="7"/>
  <c r="J14" i="7"/>
  <c r="E15" i="7"/>
  <c r="F15" i="7"/>
  <c r="G15" i="7"/>
  <c r="H15" i="7"/>
  <c r="I15" i="7"/>
  <c r="D10" i="7"/>
  <c r="D11" i="7"/>
  <c r="D12" i="7"/>
  <c r="D13" i="7"/>
  <c r="D14" i="7"/>
  <c r="D15" i="7"/>
  <c r="D9" i="7"/>
  <c r="D9" i="6"/>
  <c r="E9" i="6"/>
  <c r="F9" i="6"/>
  <c r="D10" i="6"/>
  <c r="E10" i="6"/>
  <c r="F10" i="6"/>
  <c r="D11" i="6"/>
  <c r="E11" i="6"/>
  <c r="F11" i="6"/>
  <c r="D12" i="6"/>
  <c r="E12" i="6"/>
  <c r="F12" i="6"/>
  <c r="D13" i="6"/>
  <c r="E13" i="6"/>
  <c r="F13" i="6"/>
  <c r="D14" i="6"/>
  <c r="E14" i="6"/>
  <c r="F14" i="6"/>
  <c r="C10" i="6"/>
  <c r="C11" i="6"/>
  <c r="C12" i="6"/>
  <c r="C13" i="6"/>
  <c r="C14" i="6"/>
  <c r="C9" i="6"/>
  <c r="E15" i="5"/>
  <c r="E14" i="5"/>
  <c r="E13" i="5"/>
  <c r="D11" i="5"/>
  <c r="D12" i="5"/>
  <c r="D13" i="5"/>
  <c r="D14" i="5"/>
  <c r="D15" i="5"/>
  <c r="D10" i="5"/>
  <c r="D11" i="4"/>
  <c r="E11" i="4" s="1"/>
  <c r="D10" i="4"/>
  <c r="E9" i="3"/>
  <c r="F9" i="3" s="1"/>
  <c r="F15" i="5"/>
  <c r="F14" i="5"/>
  <c r="F13" i="5"/>
  <c r="F12" i="5"/>
  <c r="E12" i="5"/>
  <c r="F11" i="5"/>
  <c r="E11" i="5"/>
  <c r="F10" i="5"/>
  <c r="E10" i="5"/>
  <c r="E16" i="3"/>
  <c r="F16" i="3" s="1"/>
  <c r="E15" i="3"/>
  <c r="F15" i="3" s="1"/>
  <c r="E14" i="3"/>
  <c r="F14" i="3" s="1"/>
  <c r="E13" i="3"/>
  <c r="F13" i="3" s="1"/>
  <c r="E12" i="3"/>
  <c r="F12" i="3" s="1"/>
  <c r="E11" i="3"/>
  <c r="F11" i="3" s="1"/>
  <c r="E10" i="3"/>
  <c r="F10" i="3" s="1"/>
  <c r="D17" i="4"/>
  <c r="E17" i="4" s="1"/>
  <c r="D16" i="4"/>
  <c r="E16" i="4" s="1"/>
  <c r="D15" i="4"/>
  <c r="D14" i="4"/>
  <c r="D13" i="4"/>
  <c r="E13" i="4" s="1"/>
  <c r="D12" i="4"/>
  <c r="E12" i="4" s="1"/>
  <c r="I15" i="8"/>
  <c r="I16" i="8"/>
  <c r="I17" i="8"/>
  <c r="I18" i="8"/>
  <c r="I12" i="8"/>
  <c r="I14" i="8"/>
  <c r="I13" i="8"/>
  <c r="I11" i="8"/>
  <c r="H12" i="8"/>
  <c r="H17" i="8"/>
  <c r="H16" i="8"/>
  <c r="H13" i="8"/>
  <c r="H18" i="8"/>
  <c r="H14" i="8"/>
  <c r="H15" i="8"/>
  <c r="H11" i="8"/>
  <c r="O15" i="7"/>
  <c r="Q12" i="7"/>
  <c r="M10" i="7"/>
  <c r="N12" i="7"/>
  <c r="P9" i="7"/>
  <c r="Q14" i="7"/>
  <c r="O9" i="7"/>
  <c r="P14" i="7"/>
  <c r="R14" i="7"/>
  <c r="M12" i="7"/>
  <c r="N9" i="7"/>
  <c r="P10" i="7"/>
  <c r="R11" i="7"/>
  <c r="R10" i="7"/>
  <c r="Q10" i="7"/>
  <c r="N10" i="7"/>
  <c r="P13" i="7"/>
  <c r="O13" i="7"/>
  <c r="R15" i="7"/>
  <c r="M13" i="7"/>
  <c r="N13" i="7"/>
  <c r="Q15" i="7"/>
  <c r="Q11" i="7"/>
  <c r="M9" i="7"/>
  <c r="O10" i="7"/>
  <c r="P15" i="7"/>
  <c r="R12" i="7"/>
  <c r="P12" i="7"/>
  <c r="M11" i="7"/>
  <c r="Q13" i="7"/>
  <c r="N11" i="7"/>
  <c r="R13" i="7"/>
  <c r="O11" i="7"/>
  <c r="M14" i="7"/>
  <c r="P11" i="7"/>
  <c r="N14" i="7"/>
  <c r="O14" i="7"/>
  <c r="Q9" i="7"/>
  <c r="O12" i="7"/>
  <c r="M15" i="7"/>
  <c r="R9" i="7"/>
  <c r="N15" i="7"/>
  <c r="L15" i="7"/>
  <c r="L11" i="7"/>
  <c r="L12" i="7"/>
  <c r="L13" i="7"/>
  <c r="L10" i="7"/>
  <c r="L14" i="7"/>
  <c r="L9" i="7"/>
  <c r="H9" i="6"/>
  <c r="H10" i="6"/>
  <c r="G9" i="6"/>
  <c r="I14" i="5"/>
  <c r="H14" i="5"/>
  <c r="G11" i="4"/>
  <c r="F17" i="4"/>
  <c r="G16" i="4"/>
  <c r="G10" i="5"/>
  <c r="I15" i="5"/>
  <c r="I13" i="5"/>
  <c r="G17" i="4"/>
  <c r="H13" i="5"/>
  <c r="F10" i="4"/>
  <c r="H10" i="5"/>
  <c r="H15" i="5"/>
  <c r="H12" i="5"/>
  <c r="I12" i="5"/>
  <c r="I10" i="5"/>
  <c r="G12" i="4"/>
  <c r="G12" i="5"/>
  <c r="F15" i="4"/>
  <c r="H11" i="5"/>
  <c r="G11" i="5"/>
  <c r="G13" i="4"/>
  <c r="G15" i="5"/>
  <c r="G14" i="5"/>
  <c r="G13" i="5"/>
  <c r="I11" i="5"/>
  <c r="F14" i="4"/>
  <c r="G13" i="8" l="1"/>
  <c r="G12" i="8"/>
  <c r="G18" i="8"/>
  <c r="G17" i="8"/>
  <c r="G16" i="8"/>
  <c r="G15" i="8"/>
  <c r="G14" i="8"/>
  <c r="G11" i="8"/>
  <c r="AB1" i="7"/>
  <c r="E22" i="7" s="1"/>
  <c r="AB1" i="3"/>
  <c r="E18" i="3" s="1"/>
  <c r="AB1" i="5"/>
  <c r="E22" i="5" s="1"/>
  <c r="E10" i="4"/>
  <c r="E14" i="4"/>
  <c r="E15" i="4"/>
  <c r="J13" i="8"/>
  <c r="J12" i="8"/>
  <c r="J18" i="8"/>
  <c r="J17" i="8"/>
  <c r="J16" i="8"/>
  <c r="J15" i="8"/>
  <c r="J14" i="8"/>
  <c r="J11" i="8"/>
  <c r="H14" i="6"/>
  <c r="I14" i="6"/>
  <c r="I13" i="6"/>
  <c r="H13" i="6"/>
  <c r="H12" i="6"/>
  <c r="I11" i="6"/>
  <c r="H11" i="6"/>
  <c r="I10" i="6"/>
  <c r="J14" i="6"/>
  <c r="J9" i="6"/>
  <c r="J13" i="6"/>
  <c r="J10" i="6"/>
  <c r="J11" i="6"/>
  <c r="I9" i="6"/>
  <c r="J12" i="6"/>
  <c r="I12" i="6"/>
  <c r="G10" i="6"/>
  <c r="F12" i="4"/>
  <c r="F13" i="4"/>
  <c r="F16" i="4"/>
  <c r="F11" i="4"/>
  <c r="G15" i="4"/>
  <c r="G10" i="4"/>
  <c r="G14" i="4"/>
  <c r="AB1" i="8" l="1"/>
  <c r="E26" i="8" s="1"/>
  <c r="AB1" i="4"/>
  <c r="G11" i="6"/>
  <c r="E23" i="4" l="1"/>
  <c r="G12" i="6"/>
  <c r="G13" i="6"/>
  <c r="G14" i="6"/>
  <c r="AB1" i="6" l="1"/>
  <c r="E20" i="6" l="1"/>
  <c r="E27" i="1"/>
</calcChain>
</file>

<file path=xl/sharedStrings.xml><?xml version="1.0" encoding="utf-8"?>
<sst xmlns="http://schemas.openxmlformats.org/spreadsheetml/2006/main" count="142" uniqueCount="123">
  <si>
    <t>Úkol 2 – Absolutní adresace</t>
  </si>
  <si>
    <t>📝  ZADÁNÍ:</t>
  </si>
  <si>
    <t>V obchodě dělají slevu 25 %. Hodnota slevy je v buňce C7 (žlutá konstanta).</t>
  </si>
  <si>
    <t>Spočítej slevy v Kč a ceny po slevě. Použij ABSOLUTNÍ adresu  $C$7  pro slevu!</t>
  </si>
  <si>
    <t>Sleva:</t>
  </si>
  <si>
    <t>%</t>
  </si>
  <si>
    <t>Zboží</t>
  </si>
  <si>
    <t>Cena (Kč)</t>
  </si>
  <si>
    <t>Sleva (Kč)</t>
  </si>
  <si>
    <t>Cena po slevě (Kč)</t>
  </si>
  <si>
    <t>Boty</t>
  </si>
  <si>
    <t>Tričko</t>
  </si>
  <si>
    <t>Bunda</t>
  </si>
  <si>
    <t>Kalhoty</t>
  </si>
  <si>
    <t>Mikina</t>
  </si>
  <si>
    <t>Klobouk</t>
  </si>
  <si>
    <t>Šála</t>
  </si>
  <si>
    <t>Rukavice</t>
  </si>
  <si>
    <t>🌟  Bonus:</t>
  </si>
  <si>
    <t>Změň hodnotu slevy v C7 na 30. Co se stalo? (Měla by se přepočítat celá tabulka)</t>
  </si>
  <si>
    <t>Nezapomeň pak vrátit hodnotu zpět na 25!</t>
  </si>
  <si>
    <t>Skóre tohoto úkolu:</t>
  </si>
  <si>
    <t>Adresace buněk – Cvičení (2. hodina)</t>
  </si>
  <si>
    <t>Pracovní sešit pro 2 vyučovací hodiny – sekunda</t>
  </si>
  <si>
    <t>Jméno:</t>
  </si>
  <si>
    <t>Třída:</t>
  </si>
  <si>
    <t>Pokyny:</t>
  </si>
  <si>
    <t>1.</t>
  </si>
  <si>
    <t>Postupuj listy podle pořadí - od Úkolu 1 až po Úkol 6.</t>
  </si>
  <si>
    <t>2.</t>
  </si>
  <si>
    <t>Žluté buňky jsou na vyplnění - sem patří VZOREC.</t>
  </si>
  <si>
    <t>3.</t>
  </si>
  <si>
    <t>Všechny vzorce musí používat ADRESY BUNĚK, ne čísla! (např. =B5*C5, ne =100*5)</t>
  </si>
  <si>
    <t>4.</t>
  </si>
  <si>
    <t>Když je v zadání věta typu „použij absolutní adresu", použij znak  $.</t>
  </si>
  <si>
    <t>5.</t>
  </si>
  <si>
    <t>Vedle žluté buňky se objeví ✓ (správně) nebo ✗ (špatně).</t>
  </si>
  <si>
    <t>6.</t>
  </si>
  <si>
    <t>Tip: zapni si v Excelu zobrazení vzorců přes Ctrl + ` (`backtick`) - uvidíš všechny vzorce najednou.</t>
  </si>
  <si>
    <t>Přehled úkolů:</t>
  </si>
  <si>
    <t>Úkol 1</t>
  </si>
  <si>
    <t>Relativní adresace</t>
  </si>
  <si>
    <t>Doplň cenu = počet × cena/ks pro 8 položek</t>
  </si>
  <si>
    <t>Úkol 2</t>
  </si>
  <si>
    <t>Absolutní adresace</t>
  </si>
  <si>
    <t>Vypočítej slevy s konstantní procentní sazbou</t>
  </si>
  <si>
    <t>Úkol 3</t>
  </si>
  <si>
    <t>Smíšená - zámek řádku (B$1)</t>
  </si>
  <si>
    <t>Tabulka cen v různých kurzech</t>
  </si>
  <si>
    <t>Úkol 4</t>
  </si>
  <si>
    <t>Smíšená - zámek sloupce ($A1)</t>
  </si>
  <si>
    <t>Procenta z hodnoty</t>
  </si>
  <si>
    <t>Úkol 5</t>
  </si>
  <si>
    <t>Násobilka</t>
  </si>
  <si>
    <t>Vyplň celou násobilku jediným vzorcem</t>
  </si>
  <si>
    <t>Úkol 6</t>
  </si>
  <si>
    <t>Komplexní úloha</t>
  </si>
  <si>
    <t>Tabulka výplat s daní a srážkami</t>
  </si>
  <si>
    <t>Tvoje celkové skóre:</t>
  </si>
  <si>
    <t>Klíč - správné výsledky</t>
  </si>
  <si>
    <t>Úkol 1 – Relativní adresace</t>
  </si>
  <si>
    <t>Doplň žluté buňky vzorcem, který spočítá CENA = POČET × CENA/KS.</t>
  </si>
  <si>
    <t>Tip: napiš vzorec jen do první buňky a zbytek překopíruj táhnutím za úchyt (nebo dvakrát klikni).</t>
  </si>
  <si>
    <t>Počet</t>
  </si>
  <si>
    <t>Cena/ks (Kč)</t>
  </si>
  <si>
    <t>Celkem (Kč)</t>
  </si>
  <si>
    <t>Sešit A4</t>
  </si>
  <si>
    <t>Tužka HB</t>
  </si>
  <si>
    <t>Pravítko 30cm</t>
  </si>
  <si>
    <t>Penál školní</t>
  </si>
  <si>
    <t>Guma</t>
  </si>
  <si>
    <t>Kalkulačka</t>
  </si>
  <si>
    <t>Trojúhelník</t>
  </si>
  <si>
    <t>Kružítko</t>
  </si>
  <si>
    <t>Úkol 3 – Smíšená adresace: zámek řádku  B$1</t>
  </si>
  <si>
    <t>Máš ceny v EUR a chceš je převést na CZK podle 3 různých kurzů (vrcholový řádek).</t>
  </si>
  <si>
    <t>Vyplň žluté buňky JEDINÝM VZORCEM (do první napiš vzorec a zkopíruj). Použij smíšenou adresaci!</t>
  </si>
  <si>
    <t>Cena</t>
  </si>
  <si>
    <t>EUR</t>
  </si>
  <si>
    <t>Kurz 24.5</t>
  </si>
  <si>
    <t>Kurz 25.0</t>
  </si>
  <si>
    <t>Kurz 25.5</t>
  </si>
  <si>
    <t>Kurz CZK/EUR →</t>
  </si>
  <si>
    <t>💡  Tip:</t>
  </si>
  <si>
    <t>Vzorec do D10 by mohl být:  =$C10 * D$9</t>
  </si>
  <si>
    <t>$C10 = cena v EUR (sloupec C nemění, řádek se posune)</t>
  </si>
  <si>
    <t>D$9 = kurz (sloupec D/E/F se posune, řádek 9 se nemění)</t>
  </si>
  <si>
    <t>Úkol 4 – Smíšená adresace: zámek sloupce  $A1</t>
  </si>
  <si>
    <t>Spočítej, kolik je různých procent z různých částek (např. 5% z 500 Kč).</t>
  </si>
  <si>
    <t>Procenta jsou v levém sloupci, částky v horním řádku. Vyplň tabulku jediným vzorcem!</t>
  </si>
  <si>
    <t>Procenta ↓</t>
  </si>
  <si>
    <t>Procenta jsou v B9 jako text "5%" - nemůžeš je přímo násobit. Co s tím?</t>
  </si>
  <si>
    <t>Když ti to nepůjde, zkus: =$B9*C$8/100  - ale procenta musí být jen čísla (5, 10, 15...).</t>
  </si>
  <si>
    <t>Úkol 5 – Násobilka jediným vzorcem</t>
  </si>
  <si>
    <t>Vyplň tabulku malé násobilky (1×1 až 7×7). Pravidla:</t>
  </si>
  <si>
    <t>1) Napiš vzorec JEN do první žluté buňky (D8). 2) Zkopíruj ho do celé tabulky.</t>
  </si>
  <si>
    <t>Použij smíšenou adresaci (hint je dole).</t>
  </si>
  <si>
    <t>×</t>
  </si>
  <si>
    <t>💡  Hint:</t>
  </si>
  <si>
    <t>Vzorec v D9 = vrchní číslo × levé číslo. Která čísla se mají "zamknout"?</t>
  </si>
  <si>
    <t>Když kopíruji DOLŮ → potřebuji, aby horní řádek (s čísly 1, 2, 3...) zůstával stejný.</t>
  </si>
  <si>
    <t>Když kopíruji DOPRAVA → potřebuji, aby levý sloupec (s čísly 1, 2, 3...) zůstával stejný.</t>
  </si>
  <si>
    <t>Úkol 6 – Komplexní úloha: výplaty zaměstnanců</t>
  </si>
  <si>
    <t>Spočítej hrubé mzdy, daň, čisté mzdy pro 8 zaměstnanců. Daňová sazba je v jedné buňce.</t>
  </si>
  <si>
    <t>Použij správně relativní + absolutní adresaci. Hodinové sazby jsou různé!</t>
  </si>
  <si>
    <t>Daň:</t>
  </si>
  <si>
    <t>Jméno</t>
  </si>
  <si>
    <t>Hod./měs.</t>
  </si>
  <si>
    <t>Sazba (Kč/h)</t>
  </si>
  <si>
    <t>Hrubá mzda</t>
  </si>
  <si>
    <t>Daň (Kč)</t>
  </si>
  <si>
    <t>Čistá mzda</t>
  </si>
  <si>
    <t>Novák</t>
  </si>
  <si>
    <t>Svoboda</t>
  </si>
  <si>
    <t>Dvořáková</t>
  </si>
  <si>
    <t>Procházka</t>
  </si>
  <si>
    <t>Černý</t>
  </si>
  <si>
    <t>Veselá</t>
  </si>
  <si>
    <t>Hájek</t>
  </si>
  <si>
    <t>Marek</t>
  </si>
  <si>
    <t>🤔  Otázka k zamyšlení:</t>
  </si>
  <si>
    <t>Tvoje odpověď:</t>
  </si>
  <si>
    <t>Kdyby firma změnila daň ze 15 % na 20 %, jak to změníš v tabulce? Kolik buněk? Než úkol odevzáš ponech 15%!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</si>
</sst>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 €&quot;"/>
    <numFmt numFmtId="165" formatCode="#,##0.00&quot; Kč&quot;"/>
    <numFmt numFmtId="166" formatCode="#,##0&quot; Kč&quot;"/>
  </numFmts>
  <fonts count="25" x14ac:knownFonts="1">
    <font>
      <sz val="11"/>
      <color theme="1"/>
      <name val="Calibri"/>
      <family val="2"/>
      <charset val="1"/>
    </font>
    <font>
      <b/>
      <sz val="20"/>
      <color rgb="FF006666"/>
      <name val="Calibri"/>
      <charset val="1"/>
    </font>
    <font>
      <i/>
      <sz val="11"/>
      <color rgb="FF5A6B7A"/>
      <name val="Calibri"/>
      <charset val="1"/>
    </font>
    <font>
      <b/>
      <sz val="12"/>
      <name val="Calibri"/>
      <charset val="1"/>
    </font>
    <font>
      <b/>
      <sz val="14"/>
      <color rgb="FF006666"/>
      <name val="Calibri"/>
      <charset val="1"/>
    </font>
    <font>
      <b/>
      <sz val="12"/>
      <color rgb="FF008B8B"/>
      <name val="Calibri"/>
      <charset val="1"/>
    </font>
    <font>
      <sz val="11"/>
      <name val="Calibri"/>
      <charset val="1"/>
    </font>
    <font>
      <b/>
      <sz val="11"/>
      <color rgb="FF006666"/>
      <name val="Calibri"/>
      <charset val="1"/>
    </font>
    <font>
      <b/>
      <sz val="11"/>
      <name val="Calibri"/>
      <charset val="1"/>
    </font>
    <font>
      <sz val="1"/>
      <color rgb="FFFFFFFF"/>
      <name val="Cambria"/>
      <charset val="1"/>
    </font>
    <font>
      <b/>
      <sz val="18"/>
      <color rgb="FF006666"/>
      <name val="Calibri"/>
      <charset val="1"/>
    </font>
    <font>
      <b/>
      <sz val="11"/>
      <color rgb="FFB33A3A"/>
      <name val="Calibri"/>
      <charset val="1"/>
    </font>
    <font>
      <i/>
      <sz val="10"/>
      <color rgb="FF8B6914"/>
      <name val="Calibri"/>
      <charset val="1"/>
    </font>
    <font>
      <b/>
      <sz val="12"/>
      <color rgb="FFFFFFFF"/>
      <name val="Calibri"/>
      <charset val="1"/>
    </font>
    <font>
      <sz val="11"/>
      <color rgb="FF333333"/>
      <name val="Calibri"/>
      <charset val="1"/>
    </font>
    <font>
      <b/>
      <sz val="14"/>
      <name val="Calibri"/>
      <charset val="1"/>
    </font>
    <font>
      <b/>
      <sz val="12"/>
      <color rgb="FFB33A3A"/>
      <name val="Calibri"/>
      <charset val="1"/>
    </font>
    <font>
      <b/>
      <sz val="14"/>
      <color rgb="FFB33A3A"/>
      <name val="Calibri"/>
      <charset val="1"/>
    </font>
    <font>
      <b/>
      <sz val="12"/>
      <color rgb="FF8B6914"/>
      <name val="Calibri"/>
      <charset val="1"/>
    </font>
    <font>
      <b/>
      <i/>
      <sz val="10"/>
      <color rgb="FFB33A3A"/>
      <name val="Calibri"/>
      <charset val="1"/>
    </font>
    <font>
      <b/>
      <sz val="11"/>
      <color rgb="FF8B6914"/>
      <name val="Calibri"/>
      <charset val="1"/>
    </font>
    <font>
      <sz val="11"/>
      <name val="Consolas"/>
      <charset val="1"/>
    </font>
    <font>
      <i/>
      <sz val="11"/>
      <color rgb="FFB33A3A"/>
      <name val="Calibri"/>
      <charset val="1"/>
    </font>
    <font>
      <b/>
      <sz val="12"/>
      <color rgb="FF006666"/>
      <name val="Calibri"/>
      <charset val="1"/>
    </font>
    <font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ACD"/>
        <bgColor rgb="FFFFF8DC"/>
      </patternFill>
    </fill>
    <fill>
      <patternFill patternType="solid">
        <fgColor rgb="FFE8F8F8"/>
        <bgColor rgb="FFFFFFFF"/>
      </patternFill>
    </fill>
    <fill>
      <patternFill patternType="solid">
        <fgColor rgb="FFFFF8DC"/>
        <bgColor rgb="FFFFFACD"/>
      </patternFill>
    </fill>
    <fill>
      <patternFill patternType="solid">
        <fgColor rgb="FF008B8B"/>
        <bgColor rgb="FF006666"/>
      </patternFill>
    </fill>
    <fill>
      <patternFill patternType="solid">
        <fgColor rgb="FFFFE5E5"/>
        <bgColor rgb="FFFFF8DC"/>
      </patternFill>
    </fill>
  </fills>
  <borders count="9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 style="thin">
        <color rgb="FF888888"/>
      </top>
      <bottom/>
      <diagonal/>
    </border>
    <border>
      <left/>
      <right style="thin">
        <color rgb="FF888888"/>
      </right>
      <top style="thin">
        <color rgb="FF888888"/>
      </top>
      <bottom/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/>
      <top/>
      <bottom style="thin">
        <color rgb="FF888888"/>
      </bottom>
      <diagonal/>
    </border>
    <border>
      <left/>
      <right/>
      <top/>
      <bottom style="thin">
        <color rgb="FF888888"/>
      </bottom>
      <diagonal/>
    </border>
    <border>
      <left/>
      <right style="thin">
        <color rgb="FF888888"/>
      </right>
      <top/>
      <bottom style="thin">
        <color rgb="FF888888"/>
      </bottom>
      <diagonal/>
    </border>
  </borders>
  <cellStyleXfs count="2">
    <xf numFmtId="0" fontId="0" fillId="0" borderId="0"/>
    <xf numFmtId="9" fontId="24" fillId="0" borderId="0" applyFont="0" applyFill="0" applyBorder="0" applyAlignment="0" applyProtection="0"/>
  </cellStyleXfs>
  <cellXfs count="53">
    <xf numFmtId="0" fontId="0" fillId="0" borderId="0" xfId="0"/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14" fillId="2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0" fontId="17" fillId="6" borderId="1" xfId="0" applyFont="1" applyFill="1" applyBorder="1" applyAlignment="1">
      <alignment horizontal="center" vertical="center"/>
    </xf>
    <xf numFmtId="4" fontId="14" fillId="2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8" fillId="0" borderId="0" xfId="0" applyFont="1"/>
    <xf numFmtId="0" fontId="16" fillId="6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14" fillId="2" borderId="1" xfId="0" applyNumberFormat="1" applyFont="1" applyFill="1" applyBorder="1" applyAlignment="1">
      <alignment horizontal="center" vertical="center"/>
    </xf>
    <xf numFmtId="0" fontId="20" fillId="0" borderId="0" xfId="0" applyFont="1"/>
    <xf numFmtId="166" fontId="13" fillId="5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66" fontId="14" fillId="2" borderId="1" xfId="0" applyNumberFormat="1" applyFont="1" applyFill="1" applyBorder="1" applyAlignment="1">
      <alignment horizontal="center" vertical="center"/>
    </xf>
    <xf numFmtId="0" fontId="10" fillId="0" borderId="0" xfId="0" applyFont="1"/>
    <xf numFmtId="0" fontId="0" fillId="0" borderId="0" xfId="0"/>
    <xf numFmtId="0" fontId="12" fillId="4" borderId="0" xfId="0" applyFont="1" applyFill="1"/>
    <xf numFmtId="0" fontId="6" fillId="0" borderId="0" xfId="0" applyFont="1"/>
    <xf numFmtId="0" fontId="4" fillId="0" borderId="0" xfId="0" applyFont="1"/>
    <xf numFmtId="0" fontId="4" fillId="3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1" fillId="4" borderId="0" xfId="0" applyFont="1" applyFill="1"/>
    <xf numFmtId="0" fontId="11" fillId="0" borderId="0" xfId="0" applyFont="1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12" fillId="0" borderId="0" xfId="0" applyFont="1"/>
    <xf numFmtId="0" fontId="21" fillId="4" borderId="0" xfId="0" applyFont="1" applyFill="1"/>
    <xf numFmtId="0" fontId="19" fillId="0" borderId="0" xfId="0" applyFont="1" applyAlignment="1">
      <alignment horizontal="right" vertical="center"/>
    </xf>
    <xf numFmtId="0" fontId="22" fillId="0" borderId="0" xfId="0" applyFont="1"/>
    <xf numFmtId="0" fontId="23" fillId="0" borderId="0" xfId="0" applyFont="1"/>
    <xf numFmtId="0" fontId="0" fillId="2" borderId="1" xfId="0" applyFill="1" applyBorder="1" applyAlignment="1">
      <alignment horizontal="left" vertical="top" wrapText="1" inden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16" fillId="6" borderId="1" xfId="1" applyFont="1" applyFill="1" applyBorder="1" applyAlignment="1">
      <alignment horizontal="center" vertical="center"/>
    </xf>
    <xf numFmtId="9" fontId="17" fillId="6" borderId="1" xfId="1" applyFont="1" applyFill="1" applyBorder="1" applyAlignment="1">
      <alignment horizontal="center" vertical="center"/>
    </xf>
    <xf numFmtId="0" fontId="6" fillId="0" borderId="0" xfId="0" applyFont="1" applyAlignment="1"/>
    <xf numFmtId="0" fontId="0" fillId="0" borderId="0" xfId="0" applyAlignment="1"/>
  </cellXfs>
  <cellStyles count="2">
    <cellStyle name="Normální" xfId="0" builtinId="0"/>
    <cellStyle name="Procenta" xfId="1" builtinId="5"/>
  </cellStyles>
  <dxfs count="12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914"/>
      <rgbColor rgb="FF800080"/>
      <rgbColor rgb="FF008B8B"/>
      <rgbColor rgb="FFC0C0C0"/>
      <rgbColor rgb="FF888888"/>
      <rgbColor rgb="FF9999FF"/>
      <rgbColor rgb="FFB33A3A"/>
      <rgbColor rgb="FFFFFACD"/>
      <rgbColor rgb="FFE8F8F8"/>
      <rgbColor rgb="FF660066"/>
      <rgbColor rgb="FFFF8080"/>
      <rgbColor rgb="FF0066CC"/>
      <rgbColor rgb="FFFFE5E5"/>
      <rgbColor rgb="FF000080"/>
      <rgbColor rgb="FFFF00FF"/>
      <rgbColor rgb="FFFFFF00"/>
      <rgbColor rgb="FF00FFFF"/>
      <rgbColor rgb="FF800080"/>
      <rgbColor rgb="FF800000"/>
      <rgbColor rgb="FF006666"/>
      <rgbColor rgb="FF0000FF"/>
      <rgbColor rgb="FF00CCFF"/>
      <rgbColor rgb="FFCCFFFF"/>
      <rgbColor rgb="FFC6EFCE"/>
      <rgbColor rgb="FFFFF8D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A6B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/>
  <dimension ref="B2:H27"/>
  <sheetViews>
    <sheetView zoomScaleNormal="100" workbookViewId="0"/>
  </sheetViews>
  <sheetFormatPr defaultColWidth="8.6328125" defaultRowHeight="14.5" x14ac:dyDescent="0.35"/>
  <cols>
    <col min="1" max="1" width="2" customWidth="1"/>
    <col min="2" max="2" width="10" customWidth="1"/>
    <col min="3" max="3" width="24" customWidth="1"/>
    <col min="4" max="4" width="14" customWidth="1"/>
    <col min="5" max="8" width="12" customWidth="1"/>
  </cols>
  <sheetData>
    <row r="2" spans="2:8" ht="25.5" customHeight="1" x14ac:dyDescent="0.6">
      <c r="B2" s="35" t="s">
        <v>22</v>
      </c>
      <c r="C2" s="26"/>
      <c r="D2" s="26"/>
      <c r="E2" s="26"/>
      <c r="F2" s="26"/>
      <c r="G2" s="26"/>
      <c r="H2" s="26"/>
    </row>
    <row r="3" spans="2:8" x14ac:dyDescent="0.35">
      <c r="B3" s="36" t="s">
        <v>23</v>
      </c>
      <c r="C3" s="26"/>
      <c r="D3" s="26"/>
      <c r="E3" s="26"/>
      <c r="F3" s="26"/>
      <c r="G3" s="26"/>
      <c r="H3" s="26"/>
    </row>
    <row r="5" spans="2:8" ht="15" customHeight="1" x14ac:dyDescent="0.35">
      <c r="B5" s="2" t="s">
        <v>24</v>
      </c>
      <c r="C5" s="37"/>
      <c r="D5" s="31"/>
      <c r="E5" s="31"/>
      <c r="F5" s="32"/>
    </row>
    <row r="6" spans="2:8" ht="15" customHeight="1" x14ac:dyDescent="0.35">
      <c r="B6" s="2" t="s">
        <v>25</v>
      </c>
      <c r="C6" s="37"/>
      <c r="D6" s="31"/>
      <c r="E6" s="31"/>
      <c r="F6" s="32"/>
    </row>
    <row r="8" spans="2:8" ht="18" customHeight="1" x14ac:dyDescent="0.45">
      <c r="B8" s="1" t="s">
        <v>26</v>
      </c>
    </row>
    <row r="10" spans="2:8" ht="15" customHeight="1" x14ac:dyDescent="0.35">
      <c r="B10" s="3" t="s">
        <v>27</v>
      </c>
      <c r="C10" s="28" t="s">
        <v>28</v>
      </c>
      <c r="D10" s="26"/>
      <c r="E10" s="26"/>
      <c r="F10" s="26"/>
      <c r="G10" s="26"/>
      <c r="H10" s="26"/>
    </row>
    <row r="11" spans="2:8" ht="15" customHeight="1" x14ac:dyDescent="0.35">
      <c r="B11" s="3" t="s">
        <v>29</v>
      </c>
      <c r="C11" s="28" t="s">
        <v>30</v>
      </c>
      <c r="D11" s="26"/>
      <c r="E11" s="26"/>
      <c r="F11" s="26"/>
      <c r="G11" s="26"/>
      <c r="H11" s="26"/>
    </row>
    <row r="12" spans="2:8" ht="15" customHeight="1" x14ac:dyDescent="0.35">
      <c r="B12" s="3" t="s">
        <v>31</v>
      </c>
      <c r="C12" s="28" t="s">
        <v>32</v>
      </c>
      <c r="D12" s="26"/>
      <c r="E12" s="26"/>
      <c r="F12" s="26"/>
      <c r="G12" s="26"/>
      <c r="H12" s="26"/>
    </row>
    <row r="13" spans="2:8" ht="15" customHeight="1" x14ac:dyDescent="0.35">
      <c r="B13" s="3" t="s">
        <v>33</v>
      </c>
      <c r="C13" s="28" t="s">
        <v>34</v>
      </c>
      <c r="D13" s="26"/>
      <c r="E13" s="26"/>
      <c r="F13" s="26"/>
      <c r="G13" s="26"/>
      <c r="H13" s="26"/>
    </row>
    <row r="14" spans="2:8" ht="15" customHeight="1" x14ac:dyDescent="0.35">
      <c r="B14" s="3" t="s">
        <v>35</v>
      </c>
      <c r="C14" s="28" t="s">
        <v>36</v>
      </c>
      <c r="D14" s="26"/>
      <c r="E14" s="26"/>
      <c r="F14" s="26"/>
      <c r="G14" s="26"/>
      <c r="H14" s="26"/>
    </row>
    <row r="15" spans="2:8" ht="15" customHeight="1" x14ac:dyDescent="0.35">
      <c r="B15" s="3" t="s">
        <v>37</v>
      </c>
      <c r="C15" s="28" t="s">
        <v>38</v>
      </c>
      <c r="D15" s="26"/>
      <c r="E15" s="26"/>
      <c r="F15" s="26"/>
      <c r="G15" s="26"/>
      <c r="H15" s="26"/>
    </row>
    <row r="17" spans="2:8" ht="18" customHeight="1" x14ac:dyDescent="0.45">
      <c r="B17" s="1" t="s">
        <v>39</v>
      </c>
    </row>
    <row r="19" spans="2:8" x14ac:dyDescent="0.35">
      <c r="B19" s="4" t="s">
        <v>40</v>
      </c>
      <c r="C19" s="5" t="s">
        <v>41</v>
      </c>
      <c r="D19" s="28" t="s">
        <v>42</v>
      </c>
      <c r="E19" s="26"/>
      <c r="F19" s="26"/>
      <c r="G19" s="26"/>
      <c r="H19" s="26"/>
    </row>
    <row r="20" spans="2:8" x14ac:dyDescent="0.35">
      <c r="B20" s="4" t="s">
        <v>43</v>
      </c>
      <c r="C20" s="5" t="s">
        <v>44</v>
      </c>
      <c r="D20" s="28" t="s">
        <v>45</v>
      </c>
      <c r="E20" s="26"/>
      <c r="F20" s="26"/>
      <c r="G20" s="26"/>
      <c r="H20" s="26"/>
    </row>
    <row r="21" spans="2:8" x14ac:dyDescent="0.35">
      <c r="B21" s="4" t="s">
        <v>46</v>
      </c>
      <c r="C21" s="5" t="s">
        <v>47</v>
      </c>
      <c r="D21" s="28" t="s">
        <v>48</v>
      </c>
      <c r="E21" s="26"/>
      <c r="F21" s="26"/>
      <c r="G21" s="26"/>
      <c r="H21" s="26"/>
    </row>
    <row r="22" spans="2:8" x14ac:dyDescent="0.35">
      <c r="B22" s="4" t="s">
        <v>49</v>
      </c>
      <c r="C22" s="5" t="s">
        <v>50</v>
      </c>
      <c r="D22" s="28" t="s">
        <v>51</v>
      </c>
      <c r="E22" s="26"/>
      <c r="F22" s="26"/>
      <c r="G22" s="26"/>
      <c r="H22" s="26"/>
    </row>
    <row r="23" spans="2:8" x14ac:dyDescent="0.35">
      <c r="B23" s="4" t="s">
        <v>52</v>
      </c>
      <c r="C23" s="5" t="s">
        <v>53</v>
      </c>
      <c r="D23" s="28" t="s">
        <v>54</v>
      </c>
      <c r="E23" s="26"/>
      <c r="F23" s="26"/>
      <c r="G23" s="26"/>
      <c r="H23" s="26"/>
    </row>
    <row r="24" spans="2:8" x14ac:dyDescent="0.35">
      <c r="B24" s="4" t="s">
        <v>55</v>
      </c>
      <c r="C24" s="5" t="s">
        <v>56</v>
      </c>
      <c r="D24" s="28" t="s">
        <v>57</v>
      </c>
      <c r="E24" s="26"/>
      <c r="F24" s="26"/>
      <c r="G24" s="26"/>
      <c r="H24" s="26"/>
    </row>
    <row r="27" spans="2:8" ht="18" customHeight="1" x14ac:dyDescent="0.45">
      <c r="B27" s="29" t="s">
        <v>58</v>
      </c>
      <c r="C27" s="26"/>
      <c r="D27" s="26"/>
      <c r="E27" s="30" t="str">
        <f ca="1">SUM('Úkol 1'!AB1,'Úkol 2'!AB1,'Úkol 3'!AB1,'Úkol 4'!AB1,'Úkol 5'!AB1,'Úkol 6'!AB1) &amp; " / " &amp; SUM('Úkol 1'!AB2,'Úkol 2'!AB2,'Úkol 3'!AB2,'Úkol 4'!AB2,'Úkol 5'!AB2,'Úkol 6'!AB2)</f>
        <v>139 / 139</v>
      </c>
      <c r="F27" s="31"/>
      <c r="G27" s="31"/>
      <c r="H27" s="32"/>
    </row>
  </sheetData>
  <mergeCells count="18">
    <mergeCell ref="C5:F5"/>
    <mergeCell ref="C14:H14"/>
    <mergeCell ref="B27:D27"/>
    <mergeCell ref="B2:H2"/>
    <mergeCell ref="D23:H23"/>
    <mergeCell ref="C12:H12"/>
    <mergeCell ref="B3:H3"/>
    <mergeCell ref="E27:H27"/>
    <mergeCell ref="C15:H15"/>
    <mergeCell ref="D24:H24"/>
    <mergeCell ref="C13:H13"/>
    <mergeCell ref="D22:H22"/>
    <mergeCell ref="D19:H19"/>
    <mergeCell ref="C6:F6"/>
    <mergeCell ref="C11:H11"/>
    <mergeCell ref="D21:H21"/>
    <mergeCell ref="C10:H10"/>
    <mergeCell ref="D20:H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A223"/>
  <sheetViews>
    <sheetView zoomScaleNormal="100" workbookViewId="0"/>
  </sheetViews>
  <sheetFormatPr defaultColWidth="8.6328125" defaultRowHeight="14.5" x14ac:dyDescent="0.35"/>
  <sheetData>
    <row r="1" spans="1:1" x14ac:dyDescent="0.35">
      <c r="A1" t="s">
        <v>59</v>
      </c>
    </row>
    <row r="10" spans="1:1" x14ac:dyDescent="0.35">
      <c r="A10">
        <v>420</v>
      </c>
    </row>
    <row r="11" spans="1:1" x14ac:dyDescent="0.35">
      <c r="A11">
        <v>200</v>
      </c>
    </row>
    <row r="12" spans="1:1" x14ac:dyDescent="0.35">
      <c r="A12">
        <v>360</v>
      </c>
    </row>
    <row r="13" spans="1:1" x14ac:dyDescent="0.35">
      <c r="A13">
        <v>1320</v>
      </c>
    </row>
    <row r="14" spans="1:1" x14ac:dyDescent="0.35">
      <c r="A14">
        <v>216</v>
      </c>
    </row>
    <row r="15" spans="1:1" x14ac:dyDescent="0.35">
      <c r="A15">
        <v>1520</v>
      </c>
    </row>
    <row r="16" spans="1:1" x14ac:dyDescent="0.35">
      <c r="A16">
        <v>280</v>
      </c>
    </row>
    <row r="17" spans="1:1" x14ac:dyDescent="0.35">
      <c r="A17">
        <v>475</v>
      </c>
    </row>
    <row r="20" spans="1:1" x14ac:dyDescent="0.35">
      <c r="A20">
        <v>300</v>
      </c>
    </row>
    <row r="21" spans="1:1" x14ac:dyDescent="0.35">
      <c r="A21">
        <v>900</v>
      </c>
    </row>
    <row r="22" spans="1:1" x14ac:dyDescent="0.35">
      <c r="A22">
        <v>120</v>
      </c>
    </row>
    <row r="23" spans="1:1" x14ac:dyDescent="0.35">
      <c r="A23">
        <v>360</v>
      </c>
    </row>
    <row r="24" spans="1:1" x14ac:dyDescent="0.35">
      <c r="A24">
        <v>600</v>
      </c>
    </row>
    <row r="25" spans="1:1" x14ac:dyDescent="0.35">
      <c r="A25">
        <v>1800</v>
      </c>
    </row>
    <row r="26" spans="1:1" x14ac:dyDescent="0.35">
      <c r="A26">
        <v>245</v>
      </c>
    </row>
    <row r="27" spans="1:1" x14ac:dyDescent="0.35">
      <c r="A27">
        <v>735</v>
      </c>
    </row>
    <row r="28" spans="1:1" x14ac:dyDescent="0.35">
      <c r="A28">
        <v>212.5</v>
      </c>
    </row>
    <row r="29" spans="1:1" x14ac:dyDescent="0.35">
      <c r="A29">
        <v>637.5</v>
      </c>
    </row>
    <row r="30" spans="1:1" x14ac:dyDescent="0.35">
      <c r="A30">
        <v>80</v>
      </c>
    </row>
    <row r="31" spans="1:1" x14ac:dyDescent="0.35">
      <c r="A31">
        <v>240</v>
      </c>
    </row>
    <row r="32" spans="1:1" x14ac:dyDescent="0.35">
      <c r="A32">
        <v>70</v>
      </c>
    </row>
    <row r="33" spans="1:1" x14ac:dyDescent="0.35">
      <c r="A33">
        <v>210</v>
      </c>
    </row>
    <row r="34" spans="1:1" x14ac:dyDescent="0.35">
      <c r="A34">
        <v>95</v>
      </c>
    </row>
    <row r="35" spans="1:1" x14ac:dyDescent="0.35">
      <c r="A35">
        <v>285</v>
      </c>
    </row>
    <row r="40" spans="1:1" x14ac:dyDescent="0.35">
      <c r="A40">
        <v>367.5</v>
      </c>
    </row>
    <row r="41" spans="1:1" x14ac:dyDescent="0.35">
      <c r="A41">
        <v>375</v>
      </c>
    </row>
    <row r="42" spans="1:1" x14ac:dyDescent="0.35">
      <c r="A42">
        <v>382.5</v>
      </c>
    </row>
    <row r="43" spans="1:1" x14ac:dyDescent="0.35">
      <c r="A43">
        <v>1592.5</v>
      </c>
    </row>
    <row r="44" spans="1:1" x14ac:dyDescent="0.35">
      <c r="A44">
        <v>1625</v>
      </c>
    </row>
    <row r="45" spans="1:1" x14ac:dyDescent="0.35">
      <c r="A45">
        <v>1657.5</v>
      </c>
    </row>
    <row r="46" spans="1:1" x14ac:dyDescent="0.35">
      <c r="A46">
        <v>2940</v>
      </c>
    </row>
    <row r="47" spans="1:1" x14ac:dyDescent="0.35">
      <c r="A47">
        <v>3000</v>
      </c>
    </row>
    <row r="48" spans="1:1" x14ac:dyDescent="0.35">
      <c r="A48">
        <v>3060</v>
      </c>
    </row>
    <row r="49" spans="1:1" x14ac:dyDescent="0.35">
      <c r="A49">
        <v>612.5</v>
      </c>
    </row>
    <row r="50" spans="1:1" x14ac:dyDescent="0.35">
      <c r="A50">
        <v>625</v>
      </c>
    </row>
    <row r="51" spans="1:1" x14ac:dyDescent="0.35">
      <c r="A51">
        <v>637.5</v>
      </c>
    </row>
    <row r="52" spans="1:1" x14ac:dyDescent="0.35">
      <c r="A52">
        <v>1102.5</v>
      </c>
    </row>
    <row r="53" spans="1:1" x14ac:dyDescent="0.35">
      <c r="A53">
        <v>1125</v>
      </c>
    </row>
    <row r="54" spans="1:1" x14ac:dyDescent="0.35">
      <c r="A54">
        <v>1147.5</v>
      </c>
    </row>
    <row r="55" spans="1:1" x14ac:dyDescent="0.35">
      <c r="A55">
        <v>857.5</v>
      </c>
    </row>
    <row r="56" spans="1:1" x14ac:dyDescent="0.35">
      <c r="A56">
        <v>875</v>
      </c>
    </row>
    <row r="57" spans="1:1" x14ac:dyDescent="0.35">
      <c r="A57">
        <v>892.5</v>
      </c>
    </row>
    <row r="80" spans="1:1" x14ac:dyDescent="0.35">
      <c r="A80">
        <v>25</v>
      </c>
    </row>
    <row r="81" spans="1:1" x14ac:dyDescent="0.35">
      <c r="A81">
        <v>50</v>
      </c>
    </row>
    <row r="82" spans="1:1" x14ac:dyDescent="0.35">
      <c r="A82">
        <v>100</v>
      </c>
    </row>
    <row r="83" spans="1:1" x14ac:dyDescent="0.35">
      <c r="A83">
        <v>250</v>
      </c>
    </row>
    <row r="84" spans="1:1" x14ac:dyDescent="0.35">
      <c r="A84">
        <v>50</v>
      </c>
    </row>
    <row r="85" spans="1:1" x14ac:dyDescent="0.35">
      <c r="A85">
        <v>100</v>
      </c>
    </row>
    <row r="86" spans="1:1" x14ac:dyDescent="0.35">
      <c r="A86">
        <v>200</v>
      </c>
    </row>
    <row r="87" spans="1:1" x14ac:dyDescent="0.35">
      <c r="A87">
        <v>500</v>
      </c>
    </row>
    <row r="88" spans="1:1" x14ac:dyDescent="0.35">
      <c r="A88">
        <v>75</v>
      </c>
    </row>
    <row r="89" spans="1:1" x14ac:dyDescent="0.35">
      <c r="A89">
        <v>150</v>
      </c>
    </row>
    <row r="90" spans="1:1" x14ac:dyDescent="0.35">
      <c r="A90">
        <v>300</v>
      </c>
    </row>
    <row r="91" spans="1:1" x14ac:dyDescent="0.35">
      <c r="A91">
        <v>750</v>
      </c>
    </row>
    <row r="92" spans="1:1" x14ac:dyDescent="0.35">
      <c r="A92">
        <v>100</v>
      </c>
    </row>
    <row r="93" spans="1:1" x14ac:dyDescent="0.35">
      <c r="A93">
        <v>200</v>
      </c>
    </row>
    <row r="94" spans="1:1" x14ac:dyDescent="0.35">
      <c r="A94">
        <v>400</v>
      </c>
    </row>
    <row r="95" spans="1:1" x14ac:dyDescent="0.35">
      <c r="A95">
        <v>1000</v>
      </c>
    </row>
    <row r="96" spans="1:1" x14ac:dyDescent="0.35">
      <c r="A96">
        <v>125</v>
      </c>
    </row>
    <row r="97" spans="1:1" x14ac:dyDescent="0.35">
      <c r="A97">
        <v>250</v>
      </c>
    </row>
    <row r="98" spans="1:1" x14ac:dyDescent="0.35">
      <c r="A98">
        <v>500</v>
      </c>
    </row>
    <row r="99" spans="1:1" x14ac:dyDescent="0.35">
      <c r="A99">
        <v>1250</v>
      </c>
    </row>
    <row r="100" spans="1:1" x14ac:dyDescent="0.35">
      <c r="A100">
        <v>250</v>
      </c>
    </row>
    <row r="101" spans="1:1" x14ac:dyDescent="0.35">
      <c r="A101">
        <v>500</v>
      </c>
    </row>
    <row r="102" spans="1:1" x14ac:dyDescent="0.35">
      <c r="A102">
        <v>1000</v>
      </c>
    </row>
    <row r="103" spans="1:1" x14ac:dyDescent="0.35">
      <c r="A103">
        <v>2500</v>
      </c>
    </row>
    <row r="120" spans="1:1" x14ac:dyDescent="0.35">
      <c r="A120">
        <v>1</v>
      </c>
    </row>
    <row r="121" spans="1:1" x14ac:dyDescent="0.35">
      <c r="A121">
        <v>2</v>
      </c>
    </row>
    <row r="122" spans="1:1" x14ac:dyDescent="0.35">
      <c r="A122">
        <v>3</v>
      </c>
    </row>
    <row r="123" spans="1:1" x14ac:dyDescent="0.35">
      <c r="A123">
        <v>4</v>
      </c>
    </row>
    <row r="124" spans="1:1" x14ac:dyDescent="0.35">
      <c r="A124">
        <v>5</v>
      </c>
    </row>
    <row r="125" spans="1:1" x14ac:dyDescent="0.35">
      <c r="A125">
        <v>6</v>
      </c>
    </row>
    <row r="126" spans="1:1" x14ac:dyDescent="0.35">
      <c r="A126">
        <v>7</v>
      </c>
    </row>
    <row r="127" spans="1:1" x14ac:dyDescent="0.35">
      <c r="A127">
        <v>2</v>
      </c>
    </row>
    <row r="128" spans="1:1" x14ac:dyDescent="0.35">
      <c r="A128">
        <v>4</v>
      </c>
    </row>
    <row r="129" spans="1:1" x14ac:dyDescent="0.35">
      <c r="A129">
        <v>6</v>
      </c>
    </row>
    <row r="130" spans="1:1" x14ac:dyDescent="0.35">
      <c r="A130">
        <v>8</v>
      </c>
    </row>
    <row r="131" spans="1:1" x14ac:dyDescent="0.35">
      <c r="A131">
        <v>10</v>
      </c>
    </row>
    <row r="132" spans="1:1" x14ac:dyDescent="0.35">
      <c r="A132">
        <v>12</v>
      </c>
    </row>
    <row r="133" spans="1:1" x14ac:dyDescent="0.35">
      <c r="A133">
        <v>14</v>
      </c>
    </row>
    <row r="134" spans="1:1" x14ac:dyDescent="0.35">
      <c r="A134">
        <v>3</v>
      </c>
    </row>
    <row r="135" spans="1:1" x14ac:dyDescent="0.35">
      <c r="A135">
        <v>6</v>
      </c>
    </row>
    <row r="136" spans="1:1" x14ac:dyDescent="0.35">
      <c r="A136">
        <v>9</v>
      </c>
    </row>
    <row r="137" spans="1:1" x14ac:dyDescent="0.35">
      <c r="A137">
        <v>12</v>
      </c>
    </row>
    <row r="138" spans="1:1" x14ac:dyDescent="0.35">
      <c r="A138">
        <v>15</v>
      </c>
    </row>
    <row r="139" spans="1:1" x14ac:dyDescent="0.35">
      <c r="A139">
        <v>18</v>
      </c>
    </row>
    <row r="140" spans="1:1" x14ac:dyDescent="0.35">
      <c r="A140">
        <v>21</v>
      </c>
    </row>
    <row r="141" spans="1:1" x14ac:dyDescent="0.35">
      <c r="A141">
        <v>4</v>
      </c>
    </row>
    <row r="142" spans="1:1" x14ac:dyDescent="0.35">
      <c r="A142">
        <v>8</v>
      </c>
    </row>
    <row r="143" spans="1:1" x14ac:dyDescent="0.35">
      <c r="A143">
        <v>12</v>
      </c>
    </row>
    <row r="144" spans="1:1" x14ac:dyDescent="0.35">
      <c r="A144">
        <v>16</v>
      </c>
    </row>
    <row r="145" spans="1:1" x14ac:dyDescent="0.35">
      <c r="A145">
        <v>20</v>
      </c>
    </row>
    <row r="146" spans="1:1" x14ac:dyDescent="0.35">
      <c r="A146">
        <v>24</v>
      </c>
    </row>
    <row r="147" spans="1:1" x14ac:dyDescent="0.35">
      <c r="A147">
        <v>28</v>
      </c>
    </row>
    <row r="148" spans="1:1" x14ac:dyDescent="0.35">
      <c r="A148">
        <v>5</v>
      </c>
    </row>
    <row r="149" spans="1:1" x14ac:dyDescent="0.35">
      <c r="A149">
        <v>10</v>
      </c>
    </row>
    <row r="150" spans="1:1" x14ac:dyDescent="0.35">
      <c r="A150">
        <v>15</v>
      </c>
    </row>
    <row r="151" spans="1:1" x14ac:dyDescent="0.35">
      <c r="A151">
        <v>20</v>
      </c>
    </row>
    <row r="152" spans="1:1" x14ac:dyDescent="0.35">
      <c r="A152">
        <v>25</v>
      </c>
    </row>
    <row r="153" spans="1:1" x14ac:dyDescent="0.35">
      <c r="A153">
        <v>30</v>
      </c>
    </row>
    <row r="154" spans="1:1" x14ac:dyDescent="0.35">
      <c r="A154">
        <v>35</v>
      </c>
    </row>
    <row r="155" spans="1:1" x14ac:dyDescent="0.35">
      <c r="A155">
        <v>6</v>
      </c>
    </row>
    <row r="156" spans="1:1" x14ac:dyDescent="0.35">
      <c r="A156">
        <v>12</v>
      </c>
    </row>
    <row r="157" spans="1:1" x14ac:dyDescent="0.35">
      <c r="A157">
        <v>18</v>
      </c>
    </row>
    <row r="158" spans="1:1" x14ac:dyDescent="0.35">
      <c r="A158">
        <v>24</v>
      </c>
    </row>
    <row r="159" spans="1:1" x14ac:dyDescent="0.35">
      <c r="A159">
        <v>30</v>
      </c>
    </row>
    <row r="160" spans="1:1" x14ac:dyDescent="0.35">
      <c r="A160">
        <v>36</v>
      </c>
    </row>
    <row r="161" spans="1:1" x14ac:dyDescent="0.35">
      <c r="A161">
        <v>42</v>
      </c>
    </row>
    <row r="162" spans="1:1" x14ac:dyDescent="0.35">
      <c r="A162">
        <v>7</v>
      </c>
    </row>
    <row r="163" spans="1:1" x14ac:dyDescent="0.35">
      <c r="A163">
        <v>14</v>
      </c>
    </row>
    <row r="164" spans="1:1" x14ac:dyDescent="0.35">
      <c r="A164">
        <v>21</v>
      </c>
    </row>
    <row r="165" spans="1:1" x14ac:dyDescent="0.35">
      <c r="A165">
        <v>28</v>
      </c>
    </row>
    <row r="166" spans="1:1" x14ac:dyDescent="0.35">
      <c r="A166">
        <v>35</v>
      </c>
    </row>
    <row r="167" spans="1:1" x14ac:dyDescent="0.35">
      <c r="A167">
        <v>42</v>
      </c>
    </row>
    <row r="168" spans="1:1" x14ac:dyDescent="0.35">
      <c r="A168">
        <v>49</v>
      </c>
    </row>
    <row r="200" spans="1:1" x14ac:dyDescent="0.35">
      <c r="A200">
        <v>47040</v>
      </c>
    </row>
    <row r="201" spans="1:1" x14ac:dyDescent="0.35">
      <c r="A201">
        <v>7056</v>
      </c>
    </row>
    <row r="202" spans="1:1" x14ac:dyDescent="0.35">
      <c r="A202">
        <v>39984</v>
      </c>
    </row>
    <row r="203" spans="1:1" x14ac:dyDescent="0.35">
      <c r="A203">
        <v>51200</v>
      </c>
    </row>
    <row r="204" spans="1:1" x14ac:dyDescent="0.35">
      <c r="A204">
        <v>7680</v>
      </c>
    </row>
    <row r="205" spans="1:1" x14ac:dyDescent="0.35">
      <c r="A205">
        <v>43520</v>
      </c>
    </row>
    <row r="206" spans="1:1" x14ac:dyDescent="0.35">
      <c r="A206">
        <v>43750</v>
      </c>
    </row>
    <row r="207" spans="1:1" x14ac:dyDescent="0.35">
      <c r="A207">
        <v>6562.5</v>
      </c>
    </row>
    <row r="208" spans="1:1" x14ac:dyDescent="0.35">
      <c r="A208">
        <v>37187.5</v>
      </c>
    </row>
    <row r="209" spans="1:1" x14ac:dyDescent="0.35">
      <c r="A209">
        <v>63000</v>
      </c>
    </row>
    <row r="210" spans="1:1" x14ac:dyDescent="0.35">
      <c r="A210">
        <v>9450</v>
      </c>
    </row>
    <row r="211" spans="1:1" x14ac:dyDescent="0.35">
      <c r="A211">
        <v>53550</v>
      </c>
    </row>
    <row r="212" spans="1:1" x14ac:dyDescent="0.35">
      <c r="A212">
        <v>47850</v>
      </c>
    </row>
    <row r="213" spans="1:1" x14ac:dyDescent="0.35">
      <c r="A213">
        <v>7177.5</v>
      </c>
    </row>
    <row r="214" spans="1:1" x14ac:dyDescent="0.35">
      <c r="A214">
        <v>40672.5</v>
      </c>
    </row>
    <row r="215" spans="1:1" x14ac:dyDescent="0.35">
      <c r="A215">
        <v>53320</v>
      </c>
    </row>
    <row r="216" spans="1:1" x14ac:dyDescent="0.35">
      <c r="A216">
        <v>7998</v>
      </c>
    </row>
    <row r="217" spans="1:1" x14ac:dyDescent="0.35">
      <c r="A217">
        <v>45322</v>
      </c>
    </row>
    <row r="218" spans="1:1" x14ac:dyDescent="0.35">
      <c r="A218">
        <v>63840</v>
      </c>
    </row>
    <row r="219" spans="1:1" x14ac:dyDescent="0.35">
      <c r="A219">
        <v>9576</v>
      </c>
    </row>
    <row r="220" spans="1:1" x14ac:dyDescent="0.35">
      <c r="A220">
        <v>54264</v>
      </c>
    </row>
    <row r="221" spans="1:1" x14ac:dyDescent="0.35">
      <c r="A221">
        <v>37200</v>
      </c>
    </row>
    <row r="222" spans="1:1" x14ac:dyDescent="0.35">
      <c r="A222">
        <v>5580</v>
      </c>
    </row>
    <row r="223" spans="1:1" x14ac:dyDescent="0.35">
      <c r="A223">
        <v>31620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List3"/>
  <dimension ref="B1:AB18"/>
  <sheetViews>
    <sheetView zoomScaleNormal="100" workbookViewId="0">
      <selection activeCell="E10" sqref="E10"/>
    </sheetView>
  </sheetViews>
  <sheetFormatPr defaultColWidth="8.6328125" defaultRowHeight="14.5" x14ac:dyDescent="0.35"/>
  <cols>
    <col min="1" max="1" width="2" customWidth="1"/>
    <col min="2" max="2" width="18" customWidth="1"/>
    <col min="3" max="3" width="10" customWidth="1"/>
    <col min="4" max="5" width="14" customWidth="1"/>
    <col min="6" max="6" width="6" customWidth="1"/>
  </cols>
  <sheetData>
    <row r="1" spans="2:28" x14ac:dyDescent="0.35">
      <c r="AB1" s="6">
        <f>COUNTIF(F9:F16,"✓")</f>
        <v>8</v>
      </c>
    </row>
    <row r="2" spans="2:28" ht="23.25" customHeight="1" x14ac:dyDescent="0.55000000000000004">
      <c r="B2" s="25" t="s">
        <v>60</v>
      </c>
      <c r="C2" s="26"/>
      <c r="D2" s="26"/>
      <c r="E2" s="26"/>
      <c r="F2" s="26"/>
      <c r="G2" s="26"/>
      <c r="AB2" s="6">
        <v>8</v>
      </c>
    </row>
    <row r="4" spans="2:28" x14ac:dyDescent="0.35">
      <c r="B4" s="33" t="s">
        <v>1</v>
      </c>
      <c r="C4" s="26"/>
      <c r="D4" s="26"/>
      <c r="E4" s="26"/>
      <c r="F4" s="26"/>
      <c r="G4" s="26"/>
    </row>
    <row r="5" spans="2:28" x14ac:dyDescent="0.35">
      <c r="B5" s="28" t="s">
        <v>61</v>
      </c>
      <c r="C5" s="26"/>
      <c r="D5" s="26"/>
      <c r="E5" s="26"/>
      <c r="F5" s="26"/>
      <c r="G5" s="26"/>
    </row>
    <row r="6" spans="2:28" x14ac:dyDescent="0.35">
      <c r="B6" s="38" t="s">
        <v>62</v>
      </c>
      <c r="C6" s="26"/>
      <c r="D6" s="26"/>
      <c r="E6" s="26"/>
      <c r="F6" s="26"/>
      <c r="G6" s="26"/>
    </row>
    <row r="8" spans="2:28" ht="15" customHeight="1" x14ac:dyDescent="0.35">
      <c r="B8" s="7" t="s">
        <v>6</v>
      </c>
      <c r="C8" s="7" t="s">
        <v>63</v>
      </c>
      <c r="D8" s="7" t="s">
        <v>64</v>
      </c>
      <c r="E8" s="7" t="s">
        <v>65</v>
      </c>
    </row>
    <row r="9" spans="2:28" ht="18" customHeight="1" x14ac:dyDescent="0.35">
      <c r="B9" s="8" t="s">
        <v>66</v>
      </c>
      <c r="C9" s="9">
        <v>12</v>
      </c>
      <c r="D9" s="10">
        <v>35</v>
      </c>
      <c r="E9" s="11">
        <f>C9*D9</f>
        <v>420</v>
      </c>
      <c r="F9" s="12" t="str">
        <f>IF(E9="","",IF(NOT(_xlfn.ISFORMULA(E9)),"✗",IF(ROUND(E9,2)=ROUND(Klíč!A10,2),"✓","✗")))</f>
        <v>✓</v>
      </c>
    </row>
    <row r="10" spans="2:28" ht="18" customHeight="1" x14ac:dyDescent="0.35">
      <c r="B10" s="8" t="s">
        <v>67</v>
      </c>
      <c r="C10" s="9">
        <v>25</v>
      </c>
      <c r="D10" s="10">
        <v>8</v>
      </c>
      <c r="E10" s="11">
        <f t="shared" ref="E9:E16" si="0">C10*D10</f>
        <v>200</v>
      </c>
      <c r="F10" s="12" t="str">
        <f>IF(E10="","",IF(NOT(_xlfn.ISFORMULA(E10)),"✗",IF(ROUND(E10,2)=ROUND(Klíč!A11,2),"✓","✗")))</f>
        <v>✓</v>
      </c>
    </row>
    <row r="11" spans="2:28" ht="18" customHeight="1" x14ac:dyDescent="0.35">
      <c r="B11" s="8" t="s">
        <v>68</v>
      </c>
      <c r="C11" s="9">
        <v>8</v>
      </c>
      <c r="D11" s="10">
        <v>45</v>
      </c>
      <c r="E11" s="11">
        <f t="shared" si="0"/>
        <v>360</v>
      </c>
      <c r="F11" s="12" t="str">
        <f>IF(E11="","",IF(NOT(_xlfn.ISFORMULA(E11)),"✗",IF(ROUND(E11,2)=ROUND(Klíč!A12,2),"✓","✗")))</f>
        <v>✓</v>
      </c>
    </row>
    <row r="12" spans="2:28" ht="18" customHeight="1" x14ac:dyDescent="0.35">
      <c r="B12" s="8" t="s">
        <v>69</v>
      </c>
      <c r="C12" s="9">
        <v>6</v>
      </c>
      <c r="D12" s="10">
        <v>220</v>
      </c>
      <c r="E12" s="11">
        <f t="shared" si="0"/>
        <v>1320</v>
      </c>
      <c r="F12" s="12" t="str">
        <f>IF(E12="","",IF(NOT(_xlfn.ISFORMULA(E12)),"✗",IF(ROUND(E12,2)=ROUND(Klíč!A13,2),"✓","✗")))</f>
        <v>✓</v>
      </c>
    </row>
    <row r="13" spans="2:28" ht="18" customHeight="1" x14ac:dyDescent="0.35">
      <c r="B13" s="8" t="s">
        <v>70</v>
      </c>
      <c r="C13" s="9">
        <v>18</v>
      </c>
      <c r="D13" s="10">
        <v>12</v>
      </c>
      <c r="E13" s="11">
        <f t="shared" si="0"/>
        <v>216</v>
      </c>
      <c r="F13" s="12" t="str">
        <f>IF(E13="","",IF(NOT(_xlfn.ISFORMULA(E13)),"✗",IF(ROUND(E13,2)=ROUND(Klíč!A14,2),"✓","✗")))</f>
        <v>✓</v>
      </c>
    </row>
    <row r="14" spans="2:28" ht="18" customHeight="1" x14ac:dyDescent="0.35">
      <c r="B14" s="8" t="s">
        <v>71</v>
      </c>
      <c r="C14" s="9">
        <v>4</v>
      </c>
      <c r="D14" s="10">
        <v>380</v>
      </c>
      <c r="E14" s="11">
        <f t="shared" si="0"/>
        <v>1520</v>
      </c>
      <c r="F14" s="12" t="str">
        <f>IF(E14="","",IF(NOT(_xlfn.ISFORMULA(E14)),"✗",IF(ROUND(E14,2)=ROUND(Klíč!A15,2),"✓","✗")))</f>
        <v>✓</v>
      </c>
    </row>
    <row r="15" spans="2:28" ht="18" customHeight="1" x14ac:dyDescent="0.35">
      <c r="B15" s="8" t="s">
        <v>72</v>
      </c>
      <c r="C15" s="9">
        <v>10</v>
      </c>
      <c r="D15" s="10">
        <v>28</v>
      </c>
      <c r="E15" s="11">
        <f t="shared" si="0"/>
        <v>280</v>
      </c>
      <c r="F15" s="12" t="str">
        <f>IF(E15="","",IF(NOT(_xlfn.ISFORMULA(E15)),"✗",IF(ROUND(E15,2)=ROUND(Klíč!A16,2),"✓","✗")))</f>
        <v>✓</v>
      </c>
    </row>
    <row r="16" spans="2:28" ht="18" customHeight="1" x14ac:dyDescent="0.35">
      <c r="B16" s="8" t="s">
        <v>73</v>
      </c>
      <c r="C16" s="9">
        <v>5</v>
      </c>
      <c r="D16" s="10">
        <v>95</v>
      </c>
      <c r="E16" s="11">
        <f t="shared" si="0"/>
        <v>475</v>
      </c>
      <c r="F16" s="12" t="str">
        <f>IF(E16="","",IF(NOT(_xlfn.ISFORMULA(E16)),"✗",IF(ROUND(E16,2)=ROUND(Klíč!A17,2),"✓","✗")))</f>
        <v>✓</v>
      </c>
    </row>
    <row r="18" spans="2:6" ht="18" customHeight="1" x14ac:dyDescent="0.45">
      <c r="B18" s="29" t="s">
        <v>21</v>
      </c>
      <c r="C18" s="26"/>
      <c r="D18" s="26"/>
      <c r="E18" s="30" t="str">
        <f>AB1 &amp; " / " &amp; AB2 &amp; "  bodů"</f>
        <v>8 / 8  bodů</v>
      </c>
      <c r="F18" s="32"/>
    </row>
  </sheetData>
  <mergeCells count="6">
    <mergeCell ref="B2:G2"/>
    <mergeCell ref="B5:G5"/>
    <mergeCell ref="B18:D18"/>
    <mergeCell ref="B4:G4"/>
    <mergeCell ref="E18:F18"/>
    <mergeCell ref="B6:G6"/>
  </mergeCells>
  <conditionalFormatting sqref="F9:F16">
    <cfRule type="cellIs" dxfId="11" priority="2" operator="equal">
      <formula>"✓"</formula>
    </cfRule>
    <cfRule type="cellIs" dxfId="10" priority="3" operator="equal">
      <formula>"✗"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4"/>
  <dimension ref="B1:AB23"/>
  <sheetViews>
    <sheetView zoomScaleNormal="100" workbookViewId="0">
      <selection activeCell="D12" sqref="D12"/>
    </sheetView>
  </sheetViews>
  <sheetFormatPr defaultColWidth="8.6328125" defaultRowHeight="14.5" x14ac:dyDescent="0.35"/>
  <cols>
    <col min="1" max="1" width="2" customWidth="1"/>
    <col min="2" max="2" width="14" customWidth="1"/>
    <col min="3" max="3" width="12" customWidth="1"/>
    <col min="4" max="4" width="14" customWidth="1"/>
    <col min="5" max="5" width="18" customWidth="1"/>
    <col min="6" max="7" width="5" customWidth="1"/>
  </cols>
  <sheetData>
    <row r="1" spans="2:28" x14ac:dyDescent="0.35">
      <c r="AB1" s="6">
        <f ca="1">COUNTIF(F10:G17,"✓")</f>
        <v>16</v>
      </c>
    </row>
    <row r="2" spans="2:28" ht="23.25" customHeight="1" x14ac:dyDescent="0.55000000000000004">
      <c r="B2" s="25" t="s">
        <v>0</v>
      </c>
      <c r="C2" s="26"/>
      <c r="D2" s="26"/>
      <c r="E2" s="26"/>
      <c r="F2" s="26"/>
      <c r="G2" s="26"/>
      <c r="AB2" s="6">
        <v>16</v>
      </c>
    </row>
    <row r="4" spans="2:28" x14ac:dyDescent="0.35">
      <c r="B4" s="33" t="s">
        <v>1</v>
      </c>
      <c r="C4" s="26"/>
      <c r="D4" s="26"/>
      <c r="E4" s="26"/>
      <c r="F4" s="26"/>
      <c r="G4" s="26"/>
    </row>
    <row r="5" spans="2:28" x14ac:dyDescent="0.35">
      <c r="B5" s="28" t="s">
        <v>2</v>
      </c>
      <c r="C5" s="26"/>
      <c r="D5" s="26"/>
      <c r="E5" s="26"/>
      <c r="F5" s="26"/>
      <c r="G5" s="26"/>
    </row>
    <row r="6" spans="2:28" x14ac:dyDescent="0.35">
      <c r="B6" s="34" t="s">
        <v>3</v>
      </c>
      <c r="C6" s="26"/>
      <c r="D6" s="26"/>
      <c r="E6" s="26"/>
      <c r="F6" s="26"/>
      <c r="G6" s="26"/>
    </row>
    <row r="7" spans="2:28" ht="18" customHeight="1" x14ac:dyDescent="0.35">
      <c r="B7" s="13" t="s">
        <v>4</v>
      </c>
      <c r="C7" s="14">
        <v>25</v>
      </c>
      <c r="D7" s="2" t="s">
        <v>5</v>
      </c>
    </row>
    <row r="9" spans="2:28" ht="15" customHeight="1" x14ac:dyDescent="0.35">
      <c r="B9" s="7" t="s">
        <v>6</v>
      </c>
      <c r="C9" s="7" t="s">
        <v>7</v>
      </c>
      <c r="D9" s="7" t="s">
        <v>8</v>
      </c>
      <c r="E9" s="7" t="s">
        <v>9</v>
      </c>
    </row>
    <row r="10" spans="2:28" ht="18" customHeight="1" x14ac:dyDescent="0.35">
      <c r="B10" s="8" t="s">
        <v>10</v>
      </c>
      <c r="C10" s="10">
        <v>1200</v>
      </c>
      <c r="D10" s="15">
        <f>(C10/100)*$C$7</f>
        <v>300</v>
      </c>
      <c r="E10" s="15">
        <f t="shared" ref="E10:E17" si="0">C10-D10</f>
        <v>900</v>
      </c>
      <c r="F10" s="16" t="str">
        <f ca="1">IF(D10="","",IF(NOT(_xlfn.ISFORMULA(D10)),"✗",IF(NOT(AND(ISNUMBER(SEARCH("C10",_xlfn.FORMULATEXT(D10))),ISNUMBER(SEARCH("$C$7",_xlfn.FORMULATEXT(D10))))),"✗",IF(ROUND(D10,2)=ROUND(Klíč!A20,2),"✓","✗"))))</f>
        <v>✓</v>
      </c>
      <c r="G10" s="16" t="str">
        <f ca="1">IF(E10="","",IF(NOT(_xlfn.ISFORMULA(E10)),"✗",IF(NOT(OR(ISNUMBER(SEARCH("D10",_xlfn.FORMULATEXT(E10))),ISNUMBER(SEARCH("$C$7",_xlfn.FORMULATEXT(E10))))),"✗",IF(ROUND(E10,2)=ROUND(Klíč!A21,2),"✓","✗"))))</f>
        <v>✓</v>
      </c>
    </row>
    <row r="11" spans="2:28" ht="18" customHeight="1" x14ac:dyDescent="0.35">
      <c r="B11" s="8" t="s">
        <v>11</v>
      </c>
      <c r="C11" s="10">
        <v>480</v>
      </c>
      <c r="D11" s="15">
        <f>(C11/100)*$C$7</f>
        <v>120</v>
      </c>
      <c r="E11" s="15">
        <f t="shared" si="0"/>
        <v>360</v>
      </c>
      <c r="F11" s="16" t="str">
        <f ca="1">IF(D11="","",IF(NOT(_xlfn.ISFORMULA(D11)),"✗",IF(NOT(AND(ISNUMBER(SEARCH("C11",_xlfn.FORMULATEXT(D11))),ISNUMBER(SEARCH("$C$7",_xlfn.FORMULATEXT(D11))))),"✗",IF(ROUND(D11,2)=ROUND(Klíč!A22,2),"✓","✗"))))</f>
        <v>✓</v>
      </c>
      <c r="G11" s="16" t="str">
        <f ca="1">IF(E11="","",IF(NOT(_xlfn.ISFORMULA(E11)),"✗",IF(NOT(OR(ISNUMBER(SEARCH("D11",_xlfn.FORMULATEXT(E11))),ISNUMBER(SEARCH("$C$7",_xlfn.FORMULATEXT(E11))))),"✗",IF(ROUND(E11,2)=ROUND(Klíč!A23,2),"✓","✗"))))</f>
        <v>✓</v>
      </c>
    </row>
    <row r="12" spans="2:28" ht="18" customHeight="1" x14ac:dyDescent="0.35">
      <c r="B12" s="8" t="s">
        <v>12</v>
      </c>
      <c r="C12" s="10">
        <v>2400</v>
      </c>
      <c r="D12" s="15">
        <f t="shared" ref="D10:D17" si="1">(C12/100)*$C$7</f>
        <v>600</v>
      </c>
      <c r="E12" s="15">
        <f t="shared" si="0"/>
        <v>1800</v>
      </c>
      <c r="F12" s="16" t="str">
        <f ca="1">IF(D12="","",IF(NOT(_xlfn.ISFORMULA(D12)),"✗",IF(NOT(AND(ISNUMBER(SEARCH("C12",_xlfn.FORMULATEXT(D12))),ISNUMBER(SEARCH("$C$7",_xlfn.FORMULATEXT(D12))))),"✗",IF(ROUND(D12,2)=ROUND(Klíč!A24,2),"✓","✗"))))</f>
        <v>✓</v>
      </c>
      <c r="G12" s="16" t="str">
        <f ca="1">IF(E12="","",IF(NOT(_xlfn.ISFORMULA(E12)),"✗",IF(NOT(OR(ISNUMBER(SEARCH("D12",_xlfn.FORMULATEXT(E12))),ISNUMBER(SEARCH("$C$7",_xlfn.FORMULATEXT(E12))))),"✗",IF(ROUND(E12,2)=ROUND(Klíč!A25,2),"✓","✗"))))</f>
        <v>✓</v>
      </c>
    </row>
    <row r="13" spans="2:28" ht="18" customHeight="1" x14ac:dyDescent="0.35">
      <c r="B13" s="8" t="s">
        <v>13</v>
      </c>
      <c r="C13" s="10">
        <v>980</v>
      </c>
      <c r="D13" s="15">
        <f t="shared" si="1"/>
        <v>245.00000000000003</v>
      </c>
      <c r="E13" s="15">
        <f t="shared" si="0"/>
        <v>735</v>
      </c>
      <c r="F13" s="16" t="str">
        <f ca="1">IF(D13="","",IF(NOT(_xlfn.ISFORMULA(D13)),"✗",IF(NOT(AND(ISNUMBER(SEARCH("C13",_xlfn.FORMULATEXT(D13))),ISNUMBER(SEARCH("$C$7",_xlfn.FORMULATEXT(D13))))),"✗",IF(ROUND(D13,2)=ROUND(Klíč!A26,2),"✓","✗"))))</f>
        <v>✓</v>
      </c>
      <c r="G13" s="16" t="str">
        <f ca="1">IF(E13="","",IF(NOT(_xlfn.ISFORMULA(E13)),"✗",IF(NOT(OR(ISNUMBER(SEARCH("D13",_xlfn.FORMULATEXT(E13))),ISNUMBER(SEARCH("$C$7",_xlfn.FORMULATEXT(E13))))),"✗",IF(ROUND(E13,2)=ROUND(Klíč!A27,2),"✓","✗"))))</f>
        <v>✓</v>
      </c>
    </row>
    <row r="14" spans="2:28" ht="18" customHeight="1" x14ac:dyDescent="0.35">
      <c r="B14" s="8" t="s">
        <v>14</v>
      </c>
      <c r="C14" s="10">
        <v>850</v>
      </c>
      <c r="D14" s="15">
        <f t="shared" si="1"/>
        <v>212.5</v>
      </c>
      <c r="E14" s="15">
        <f t="shared" si="0"/>
        <v>637.5</v>
      </c>
      <c r="F14" s="16" t="str">
        <f ca="1">IF(D14="","",IF(NOT(_xlfn.ISFORMULA(D14)),"✗",IF(NOT(AND(ISNUMBER(SEARCH("C14",_xlfn.FORMULATEXT(D14))),ISNUMBER(SEARCH("$C$7",_xlfn.FORMULATEXT(D14))))),"✗",IF(ROUND(D14,2)=ROUND(Klíč!A28,2),"✓","✗"))))</f>
        <v>✓</v>
      </c>
      <c r="G14" s="16" t="str">
        <f ca="1">IF(E14="","",IF(NOT(_xlfn.ISFORMULA(E14)),"✗",IF(NOT(OR(ISNUMBER(SEARCH("D14",_xlfn.FORMULATEXT(E14))),ISNUMBER(SEARCH("$C$7",_xlfn.FORMULATEXT(E14))))),"✗",IF(ROUND(E14,2)=ROUND(Klíč!A29,2),"✓","✗"))))</f>
        <v>✓</v>
      </c>
    </row>
    <row r="15" spans="2:28" ht="18" customHeight="1" x14ac:dyDescent="0.35">
      <c r="B15" s="8" t="s">
        <v>15</v>
      </c>
      <c r="C15" s="10">
        <v>320</v>
      </c>
      <c r="D15" s="15">
        <f t="shared" si="1"/>
        <v>80</v>
      </c>
      <c r="E15" s="15">
        <f t="shared" si="0"/>
        <v>240</v>
      </c>
      <c r="F15" s="16" t="str">
        <f ca="1">IF(D15="","",IF(NOT(_xlfn.ISFORMULA(D15)),"✗",IF(NOT(AND(ISNUMBER(SEARCH("C15",_xlfn.FORMULATEXT(D15))),ISNUMBER(SEARCH("$C$7",_xlfn.FORMULATEXT(D15))))),"✗",IF(ROUND(D15,2)=ROUND(Klíč!A30,2),"✓","✗"))))</f>
        <v>✓</v>
      </c>
      <c r="G15" s="16" t="str">
        <f ca="1">IF(E15="","",IF(NOT(_xlfn.ISFORMULA(E15)),"✗",IF(NOT(OR(ISNUMBER(SEARCH("D15",_xlfn.FORMULATEXT(E15))),ISNUMBER(SEARCH("$C$7",_xlfn.FORMULATEXT(E15))))),"✗",IF(ROUND(E15,2)=ROUND(Klíč!A31,2),"✓","✗"))))</f>
        <v>✓</v>
      </c>
    </row>
    <row r="16" spans="2:28" ht="18" customHeight="1" x14ac:dyDescent="0.35">
      <c r="B16" s="8" t="s">
        <v>16</v>
      </c>
      <c r="C16" s="10">
        <v>280</v>
      </c>
      <c r="D16" s="15">
        <f t="shared" si="1"/>
        <v>70</v>
      </c>
      <c r="E16" s="15">
        <f t="shared" si="0"/>
        <v>210</v>
      </c>
      <c r="F16" s="16" t="str">
        <f ca="1">IF(D16="","",IF(NOT(_xlfn.ISFORMULA(D16)),"✗",IF(NOT(AND(ISNUMBER(SEARCH("C16",_xlfn.FORMULATEXT(D16))),ISNUMBER(SEARCH("$C$7",_xlfn.FORMULATEXT(D16))))),"✗",IF(ROUND(D16,2)=ROUND(Klíč!A32,2),"✓","✗"))))</f>
        <v>✓</v>
      </c>
      <c r="G16" s="16" t="str">
        <f ca="1">IF(E16="","",IF(NOT(_xlfn.ISFORMULA(E16)),"✗",IF(NOT(OR(ISNUMBER(SEARCH("D16",_xlfn.FORMULATEXT(E16))),ISNUMBER(SEARCH("$C$7",_xlfn.FORMULATEXT(E16))))),"✗",IF(ROUND(E16,2)=ROUND(Klíč!A33,2),"✓","✗"))))</f>
        <v>✓</v>
      </c>
    </row>
    <row r="17" spans="2:7" ht="18" customHeight="1" x14ac:dyDescent="0.35">
      <c r="B17" s="8" t="s">
        <v>17</v>
      </c>
      <c r="C17" s="10">
        <v>380</v>
      </c>
      <c r="D17" s="15">
        <f t="shared" si="1"/>
        <v>95</v>
      </c>
      <c r="E17" s="15">
        <f t="shared" si="0"/>
        <v>285</v>
      </c>
      <c r="F17" s="16" t="str">
        <f ca="1">IF(D17="","",IF(NOT(_xlfn.ISFORMULA(D17)),"✗",IF(NOT(AND(ISNUMBER(SEARCH("C17",_xlfn.FORMULATEXT(D17))),ISNUMBER(SEARCH("$C$7",_xlfn.FORMULATEXT(D17))))),"✗",IF(ROUND(D17,2)=ROUND(Klíč!A34,2),"✓","✗"))))</f>
        <v>✓</v>
      </c>
      <c r="G17" s="16" t="str">
        <f ca="1">IF(E17="","",IF(NOT(_xlfn.ISFORMULA(E17)),"✗",IF(NOT(OR(ISNUMBER(SEARCH("D17",_xlfn.FORMULATEXT(E17))),ISNUMBER(SEARCH("$C$7",_xlfn.FORMULATEXT(E17))))),"✗",IF(ROUND(E17,2)=ROUND(Klíč!A35,2),"✓","✗"))))</f>
        <v>✓</v>
      </c>
    </row>
    <row r="19" spans="2:7" ht="15" customHeight="1" x14ac:dyDescent="0.35">
      <c r="B19" s="17" t="s">
        <v>18</v>
      </c>
    </row>
    <row r="20" spans="2:7" x14ac:dyDescent="0.35">
      <c r="B20" s="27" t="s">
        <v>19</v>
      </c>
      <c r="C20" s="26"/>
      <c r="D20" s="26"/>
      <c r="E20" s="26"/>
      <c r="F20" s="26"/>
      <c r="G20" s="26"/>
    </row>
    <row r="21" spans="2:7" x14ac:dyDescent="0.35">
      <c r="B21" s="27" t="s">
        <v>20</v>
      </c>
      <c r="C21" s="26"/>
      <c r="D21" s="26"/>
      <c r="E21" s="26"/>
      <c r="F21" s="26"/>
      <c r="G21" s="26"/>
    </row>
    <row r="23" spans="2:7" ht="18" customHeight="1" x14ac:dyDescent="0.45">
      <c r="B23" s="29" t="s">
        <v>21</v>
      </c>
      <c r="C23" s="26"/>
      <c r="D23" s="26"/>
      <c r="E23" s="30" t="str">
        <f ca="1">AB1 &amp; " / " &amp; AB2 &amp; "  bodů"</f>
        <v>16 / 16  bodů</v>
      </c>
      <c r="F23" s="31"/>
      <c r="G23" s="32"/>
    </row>
  </sheetData>
  <mergeCells count="8">
    <mergeCell ref="B2:G2"/>
    <mergeCell ref="B20:G20"/>
    <mergeCell ref="B5:G5"/>
    <mergeCell ref="B23:D23"/>
    <mergeCell ref="E23:G23"/>
    <mergeCell ref="B4:G4"/>
    <mergeCell ref="B21:G21"/>
    <mergeCell ref="B6:G6"/>
  </mergeCells>
  <conditionalFormatting sqref="F10:G17">
    <cfRule type="cellIs" dxfId="9" priority="2" operator="equal">
      <formula>"✓"</formula>
    </cfRule>
    <cfRule type="cellIs" dxfId="8" priority="3" operator="equal">
      <formula>"✗"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List5"/>
  <dimension ref="B1:AB22"/>
  <sheetViews>
    <sheetView zoomScaleNormal="100" workbookViewId="0">
      <selection activeCell="N16" sqref="N16"/>
    </sheetView>
  </sheetViews>
  <sheetFormatPr defaultColWidth="8.6328125" defaultRowHeight="14.5" x14ac:dyDescent="0.35"/>
  <cols>
    <col min="1" max="1" width="2" customWidth="1"/>
    <col min="2" max="2" width="14" customWidth="1"/>
    <col min="3" max="3" width="10" customWidth="1"/>
    <col min="4" max="6" width="14" customWidth="1"/>
    <col min="7" max="9" width="5" customWidth="1"/>
  </cols>
  <sheetData>
    <row r="1" spans="2:28" x14ac:dyDescent="0.35">
      <c r="AB1" s="6">
        <f ca="1">COUNTIF(G10:I15,"✓")</f>
        <v>18</v>
      </c>
    </row>
    <row r="2" spans="2:28" ht="23.25" customHeight="1" x14ac:dyDescent="0.55000000000000004">
      <c r="B2" s="25" t="s">
        <v>74</v>
      </c>
      <c r="C2" s="26"/>
      <c r="D2" s="26"/>
      <c r="E2" s="26"/>
      <c r="F2" s="26"/>
      <c r="G2" s="26"/>
      <c r="AB2" s="6">
        <v>18</v>
      </c>
    </row>
    <row r="4" spans="2:28" x14ac:dyDescent="0.35">
      <c r="B4" s="33" t="s">
        <v>1</v>
      </c>
      <c r="C4" s="26"/>
      <c r="D4" s="26"/>
      <c r="E4" s="26"/>
      <c r="F4" s="26"/>
      <c r="G4" s="26"/>
    </row>
    <row r="5" spans="2:28" x14ac:dyDescent="0.35">
      <c r="B5" s="28" t="s">
        <v>75</v>
      </c>
      <c r="C5" s="26"/>
      <c r="D5" s="26"/>
      <c r="E5" s="26"/>
      <c r="F5" s="26"/>
      <c r="G5" s="26"/>
    </row>
    <row r="6" spans="2:28" x14ac:dyDescent="0.35">
      <c r="B6" s="34" t="s">
        <v>76</v>
      </c>
      <c r="C6" s="26"/>
      <c r="D6" s="26"/>
      <c r="E6" s="26"/>
      <c r="F6" s="26"/>
      <c r="G6" s="26"/>
    </row>
    <row r="8" spans="2:28" ht="15" customHeight="1" x14ac:dyDescent="0.35">
      <c r="B8" s="7" t="s">
        <v>77</v>
      </c>
      <c r="C8" s="7" t="s">
        <v>78</v>
      </c>
      <c r="D8" s="7" t="s">
        <v>79</v>
      </c>
      <c r="E8" s="7" t="s">
        <v>80</v>
      </c>
      <c r="F8" s="7" t="s">
        <v>81</v>
      </c>
    </row>
    <row r="9" spans="2:28" ht="15" customHeight="1" x14ac:dyDescent="0.35">
      <c r="B9" s="40" t="s">
        <v>82</v>
      </c>
      <c r="C9" s="26"/>
      <c r="D9" s="18">
        <v>24.5</v>
      </c>
      <c r="E9" s="18">
        <v>25</v>
      </c>
      <c r="F9" s="18">
        <v>25.5</v>
      </c>
    </row>
    <row r="10" spans="2:28" ht="18" customHeight="1" x14ac:dyDescent="0.35">
      <c r="B10" s="8" t="s">
        <v>11</v>
      </c>
      <c r="C10" s="19">
        <v>15</v>
      </c>
      <c r="D10" s="20">
        <f>$C10*D$9</f>
        <v>367.5</v>
      </c>
      <c r="E10" s="20">
        <f t="shared" ref="D10:F15" si="0">$C10*E$9</f>
        <v>375</v>
      </c>
      <c r="F10" s="20">
        <f t="shared" si="0"/>
        <v>382.5</v>
      </c>
      <c r="G10" s="16" t="str">
        <f ca="1">IF(D10="","",IF(NOT(_xlfn.ISFORMULA(D10)),"✗",IF(NOT(AND(ISNUMBER(SEARCH("$C",_xlfn.FORMULATEXT(D10))),ISNUMBER(SEARCH("$9",_xlfn.FORMULATEXT(D10))))),"✗",IF(ROUND(D10,2)=ROUND(Klíč!A40,2),"✓","✗"))))</f>
        <v>✓</v>
      </c>
      <c r="H10" s="16" t="str">
        <f ca="1">IF(E10="","",IF(NOT(_xlfn.ISFORMULA(E10)),"✗",IF(NOT(AND(ISNUMBER(SEARCH("$C",_xlfn.FORMULATEXT(E10))),ISNUMBER(SEARCH("$9",_xlfn.FORMULATEXT(E10))))),"✗",IF(ROUND(E10,2)=ROUND(Klíč!A41,2),"✓","✗"))))</f>
        <v>✓</v>
      </c>
      <c r="I10" s="16" t="str">
        <f ca="1">IF(F10="","",IF(NOT(_xlfn.ISFORMULA(F10)),"✗",IF(NOT(AND(ISNUMBER(SEARCH("$C",_xlfn.FORMULATEXT(F10))),ISNUMBER(SEARCH("$9",_xlfn.FORMULATEXT(F10))))),"✗",IF(ROUND(F10,2)=ROUND(Klíč!A42,2),"✓","✗"))))</f>
        <v>✓</v>
      </c>
    </row>
    <row r="11" spans="2:28" ht="18" customHeight="1" x14ac:dyDescent="0.35">
      <c r="B11" s="8" t="s">
        <v>10</v>
      </c>
      <c r="C11" s="19">
        <v>65</v>
      </c>
      <c r="D11" s="20">
        <f t="shared" ref="D11:D15" si="1">$C11*D$9</f>
        <v>1592.5</v>
      </c>
      <c r="E11" s="20">
        <f t="shared" si="0"/>
        <v>1625</v>
      </c>
      <c r="F11" s="20">
        <f t="shared" si="0"/>
        <v>1657.5</v>
      </c>
      <c r="G11" s="16" t="str">
        <f ca="1">IF(D11="","",IF(NOT(_xlfn.ISFORMULA(D11)),"✗",IF(NOT(AND(ISNUMBER(SEARCH("$C",_xlfn.FORMULATEXT(D11))),ISNUMBER(SEARCH("$9",_xlfn.FORMULATEXT(D11))))),"✗",IF(ROUND(D11,2)=ROUND(Klíč!A43,2),"✓","✗"))))</f>
        <v>✓</v>
      </c>
      <c r="H11" s="16" t="str">
        <f ca="1">IF(E11="","",IF(NOT(_xlfn.ISFORMULA(E11)),"✗",IF(NOT(AND(ISNUMBER(SEARCH("$C",_xlfn.FORMULATEXT(E11))),ISNUMBER(SEARCH("$9",_xlfn.FORMULATEXT(E11))))),"✗",IF(ROUND(E11,2)=ROUND(Klíč!A44,2),"✓","✗"))))</f>
        <v>✓</v>
      </c>
      <c r="I11" s="16" t="str">
        <f ca="1">IF(F11="","",IF(NOT(_xlfn.ISFORMULA(F11)),"✗",IF(NOT(AND(ISNUMBER(SEARCH("$C",_xlfn.FORMULATEXT(F11))),ISNUMBER(SEARCH("$9",_xlfn.FORMULATEXT(F11))))),"✗",IF(ROUND(F11,2)=ROUND(Klíč!A45,2),"✓","✗"))))</f>
        <v>✓</v>
      </c>
    </row>
    <row r="12" spans="2:28" ht="18" customHeight="1" x14ac:dyDescent="0.35">
      <c r="B12" s="8" t="s">
        <v>12</v>
      </c>
      <c r="C12" s="19">
        <v>120</v>
      </c>
      <c r="D12" s="20">
        <f t="shared" si="1"/>
        <v>2940</v>
      </c>
      <c r="E12" s="20">
        <f t="shared" si="0"/>
        <v>3000</v>
      </c>
      <c r="F12" s="20">
        <f t="shared" si="0"/>
        <v>3060</v>
      </c>
      <c r="G12" s="16" t="str">
        <f ca="1">IF(D12="","",IF(NOT(_xlfn.ISFORMULA(D12)),"✗",IF(NOT(AND(ISNUMBER(SEARCH("$C",_xlfn.FORMULATEXT(D12))),ISNUMBER(SEARCH("$9",_xlfn.FORMULATEXT(D12))))),"✗",IF(ROUND(D12,2)=ROUND(Klíč!A46,2),"✓","✗"))))</f>
        <v>✓</v>
      </c>
      <c r="H12" s="16" t="str">
        <f ca="1">IF(E12="","",IF(NOT(_xlfn.ISFORMULA(E12)),"✗",IF(NOT(AND(ISNUMBER(SEARCH("$C",_xlfn.FORMULATEXT(E12))),ISNUMBER(SEARCH("$9",_xlfn.FORMULATEXT(E12))))),"✗",IF(ROUND(E12,2)=ROUND(Klíč!A47,2),"✓","✗"))))</f>
        <v>✓</v>
      </c>
      <c r="I12" s="16" t="str">
        <f ca="1">IF(F12="","",IF(NOT(_xlfn.ISFORMULA(F12)),"✗",IF(NOT(AND(ISNUMBER(SEARCH("$C",_xlfn.FORMULATEXT(F12))),ISNUMBER(SEARCH("$9",_xlfn.FORMULATEXT(F12))))),"✗",IF(ROUND(F12,2)=ROUND(Klíč!A48,2),"✓","✗"))))</f>
        <v>✓</v>
      </c>
    </row>
    <row r="13" spans="2:28" ht="18" customHeight="1" x14ac:dyDescent="0.35">
      <c r="B13" s="8" t="s">
        <v>15</v>
      </c>
      <c r="C13" s="19">
        <v>25</v>
      </c>
      <c r="D13" s="20">
        <f t="shared" si="1"/>
        <v>612.5</v>
      </c>
      <c r="E13" s="20">
        <f>$C13*E$9</f>
        <v>625</v>
      </c>
      <c r="F13" s="20">
        <f t="shared" si="0"/>
        <v>637.5</v>
      </c>
      <c r="G13" s="16" t="str">
        <f ca="1">IF(D13="","",IF(NOT(_xlfn.ISFORMULA(D13)),"✗",IF(NOT(AND(ISNUMBER(SEARCH("$C",_xlfn.FORMULATEXT(D13))),ISNUMBER(SEARCH("$9",_xlfn.FORMULATEXT(D13))))),"✗",IF(ROUND(D13,2)=ROUND(Klíč!A49,2),"✓","✗"))))</f>
        <v>✓</v>
      </c>
      <c r="H13" s="16" t="str">
        <f ca="1">IF(E13="","",IF(NOT(_xlfn.ISFORMULA(E13)),"✗",IF(NOT(AND(ISNUMBER(SEARCH("$C",_xlfn.FORMULATEXT(E13))),ISNUMBER(SEARCH("$9",_xlfn.FORMULATEXT(E13))))),"✗",IF(ROUND(E13,2)=ROUND(Klíč!A50,2),"✓","✗"))))</f>
        <v>✓</v>
      </c>
      <c r="I13" s="16" t="str">
        <f ca="1">IF(F13="","",IF(NOT(_xlfn.ISFORMULA(F13)),"✗",IF(NOT(AND(ISNUMBER(SEARCH("$C",_xlfn.FORMULATEXT(F13))),ISNUMBER(SEARCH("$9",_xlfn.FORMULATEXT(F13))))),"✗",IF(ROUND(F13,2)=ROUND(Klíč!A51,2),"✓","✗"))))</f>
        <v>✓</v>
      </c>
    </row>
    <row r="14" spans="2:28" ht="18" customHeight="1" x14ac:dyDescent="0.35">
      <c r="B14" s="8" t="s">
        <v>13</v>
      </c>
      <c r="C14" s="19">
        <v>45</v>
      </c>
      <c r="D14" s="20">
        <f t="shared" si="1"/>
        <v>1102.5</v>
      </c>
      <c r="E14" s="20">
        <f>$C14*E$9</f>
        <v>1125</v>
      </c>
      <c r="F14" s="20">
        <f t="shared" si="0"/>
        <v>1147.5</v>
      </c>
      <c r="G14" s="16" t="str">
        <f ca="1">IF(D14="","",IF(NOT(_xlfn.ISFORMULA(D14)),"✗",IF(NOT(AND(ISNUMBER(SEARCH("$C",_xlfn.FORMULATEXT(D14))),ISNUMBER(SEARCH("$9",_xlfn.FORMULATEXT(D14))))),"✗",IF(ROUND(D14,2)=ROUND(Klíč!A52,2),"✓","✗"))))</f>
        <v>✓</v>
      </c>
      <c r="H14" s="16" t="str">
        <f ca="1">IF(E14="","",IF(NOT(_xlfn.ISFORMULA(E14)),"✗",IF(NOT(AND(ISNUMBER(SEARCH("$C",_xlfn.FORMULATEXT(E14))),ISNUMBER(SEARCH("$9",_xlfn.FORMULATEXT(E14))))),"✗",IF(ROUND(E14,2)=ROUND(Klíč!A53,2),"✓","✗"))))</f>
        <v>✓</v>
      </c>
      <c r="I14" s="16" t="str">
        <f ca="1">IF(F14="","",IF(NOT(_xlfn.ISFORMULA(F14)),"✗",IF(NOT(AND(ISNUMBER(SEARCH("$C",_xlfn.FORMULATEXT(F14))),ISNUMBER(SEARCH("$9",_xlfn.FORMULATEXT(F14))))),"✗",IF(ROUND(F14,2)=ROUND(Klíč!A54,2),"✓","✗"))))</f>
        <v>✓</v>
      </c>
    </row>
    <row r="15" spans="2:28" ht="18" customHeight="1" x14ac:dyDescent="0.35">
      <c r="B15" s="8" t="s">
        <v>14</v>
      </c>
      <c r="C15" s="19">
        <v>35</v>
      </c>
      <c r="D15" s="20">
        <f t="shared" si="1"/>
        <v>857.5</v>
      </c>
      <c r="E15" s="20">
        <f>$C15*E$9</f>
        <v>875</v>
      </c>
      <c r="F15" s="20">
        <f t="shared" si="0"/>
        <v>892.5</v>
      </c>
      <c r="G15" s="16" t="str">
        <f ca="1">IF(D15="","",IF(NOT(_xlfn.ISFORMULA(D15)),"✗",IF(NOT(AND(ISNUMBER(SEARCH("$C",_xlfn.FORMULATEXT(D15))),ISNUMBER(SEARCH("$9",_xlfn.FORMULATEXT(D15))))),"✗",IF(ROUND(D15,2)=ROUND(Klíč!A55,2),"✓","✗"))))</f>
        <v>✓</v>
      </c>
      <c r="H15" s="16" t="str">
        <f ca="1">IF(E15="","",IF(NOT(_xlfn.ISFORMULA(E15)),"✗",IF(NOT(AND(ISNUMBER(SEARCH("$C",_xlfn.FORMULATEXT(E15))),ISNUMBER(SEARCH("$9",_xlfn.FORMULATEXT(E15))))),"✗",IF(ROUND(E15,2)=ROUND(Klíč!A56,2),"✓","✗"))))</f>
        <v>✓</v>
      </c>
      <c r="I15" s="16" t="str">
        <f ca="1">IF(F15="","",IF(NOT(_xlfn.ISFORMULA(F15)),"✗",IF(NOT(AND(ISNUMBER(SEARCH("$C",_xlfn.FORMULATEXT(F15))),ISNUMBER(SEARCH("$9",_xlfn.FORMULATEXT(F15))))),"✗",IF(ROUND(F15,2)=ROUND(Klíč!A57,2),"✓","✗"))))</f>
        <v>✓</v>
      </c>
    </row>
    <row r="17" spans="2:9" x14ac:dyDescent="0.35">
      <c r="B17" s="21" t="s">
        <v>83</v>
      </c>
    </row>
    <row r="18" spans="2:9" x14ac:dyDescent="0.35">
      <c r="B18" s="39" t="s">
        <v>84</v>
      </c>
      <c r="C18" s="26"/>
      <c r="D18" s="26"/>
      <c r="E18" s="26"/>
      <c r="F18" s="26"/>
      <c r="G18" s="26"/>
      <c r="H18" s="26"/>
      <c r="I18" s="26"/>
    </row>
    <row r="19" spans="2:9" x14ac:dyDescent="0.35">
      <c r="B19" s="38" t="s">
        <v>85</v>
      </c>
      <c r="C19" s="26"/>
      <c r="D19" s="26"/>
      <c r="E19" s="26"/>
      <c r="F19" s="26"/>
      <c r="G19" s="26"/>
      <c r="H19" s="26"/>
      <c r="I19" s="26"/>
    </row>
    <row r="20" spans="2:9" x14ac:dyDescent="0.35">
      <c r="B20" s="38" t="s">
        <v>86</v>
      </c>
      <c r="C20" s="26"/>
      <c r="D20" s="26"/>
      <c r="E20" s="26"/>
      <c r="F20" s="26"/>
      <c r="G20" s="26"/>
      <c r="H20" s="26"/>
      <c r="I20" s="26"/>
    </row>
    <row r="22" spans="2:9" ht="18" customHeight="1" x14ac:dyDescent="0.45">
      <c r="B22" s="29" t="s">
        <v>21</v>
      </c>
      <c r="C22" s="26"/>
      <c r="D22" s="26"/>
      <c r="E22" s="30" t="str">
        <f ca="1">AB1 &amp; " / " &amp; AB2 &amp; "  bodů"</f>
        <v>18 / 18  bodů</v>
      </c>
      <c r="F22" s="31"/>
      <c r="G22" s="31"/>
      <c r="H22" s="31"/>
      <c r="I22" s="32"/>
    </row>
  </sheetData>
  <mergeCells count="10">
    <mergeCell ref="B18:I18"/>
    <mergeCell ref="B2:G2"/>
    <mergeCell ref="B5:G5"/>
    <mergeCell ref="E22:I22"/>
    <mergeCell ref="B22:D22"/>
    <mergeCell ref="B20:I20"/>
    <mergeCell ref="B4:G4"/>
    <mergeCell ref="B19:I19"/>
    <mergeCell ref="B9:C9"/>
    <mergeCell ref="B6:G6"/>
  </mergeCells>
  <conditionalFormatting sqref="G10:I15">
    <cfRule type="cellIs" dxfId="7" priority="2" operator="equal">
      <formula>"✓"</formula>
    </cfRule>
    <cfRule type="cellIs" dxfId="6" priority="3" operator="equal">
      <formula>"✗"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List6"/>
  <dimension ref="B1:AB20"/>
  <sheetViews>
    <sheetView zoomScaleNormal="100" workbookViewId="0">
      <selection activeCell="D10" sqref="D10"/>
    </sheetView>
  </sheetViews>
  <sheetFormatPr defaultColWidth="8.6328125" defaultRowHeight="14.5" x14ac:dyDescent="0.35"/>
  <cols>
    <col min="1" max="1" width="2" customWidth="1"/>
    <col min="2" max="2" width="14" customWidth="1"/>
    <col min="3" max="6" width="13" customWidth="1"/>
    <col min="7" max="10" width="5" customWidth="1"/>
  </cols>
  <sheetData>
    <row r="1" spans="2:28" x14ac:dyDescent="0.35">
      <c r="AB1" s="6">
        <f ca="1">COUNTIF(G9:J14,"✓")</f>
        <v>24</v>
      </c>
    </row>
    <row r="2" spans="2:28" ht="23.25" customHeight="1" x14ac:dyDescent="0.55000000000000004">
      <c r="B2" s="25" t="s">
        <v>87</v>
      </c>
      <c r="C2" s="26"/>
      <c r="D2" s="26"/>
      <c r="E2" s="26"/>
      <c r="F2" s="26"/>
      <c r="G2" s="26"/>
      <c r="AB2" s="6">
        <v>24</v>
      </c>
    </row>
    <row r="4" spans="2:28" x14ac:dyDescent="0.35">
      <c r="B4" s="33" t="s">
        <v>1</v>
      </c>
      <c r="C4" s="26"/>
      <c r="D4" s="26"/>
      <c r="E4" s="26"/>
      <c r="F4" s="26"/>
      <c r="G4" s="26"/>
    </row>
    <row r="5" spans="2:28" x14ac:dyDescent="0.35">
      <c r="B5" s="28" t="s">
        <v>88</v>
      </c>
      <c r="C5" s="26"/>
      <c r="D5" s="26"/>
      <c r="E5" s="26"/>
      <c r="F5" s="26"/>
      <c r="G5" s="26"/>
    </row>
    <row r="6" spans="2:28" x14ac:dyDescent="0.35">
      <c r="B6" s="34" t="s">
        <v>89</v>
      </c>
      <c r="C6" s="26"/>
      <c r="D6" s="26"/>
      <c r="E6" s="26"/>
      <c r="F6" s="26"/>
      <c r="G6" s="26"/>
    </row>
    <row r="8" spans="2:28" ht="15" customHeight="1" x14ac:dyDescent="0.35">
      <c r="B8" s="7" t="s">
        <v>90</v>
      </c>
      <c r="C8" s="22">
        <v>500</v>
      </c>
      <c r="D8" s="22">
        <v>1000</v>
      </c>
      <c r="E8" s="22">
        <v>2000</v>
      </c>
      <c r="F8" s="22">
        <v>5000</v>
      </c>
    </row>
    <row r="9" spans="2:28" ht="18" customHeight="1" x14ac:dyDescent="0.35">
      <c r="B9" s="49">
        <v>0.05</v>
      </c>
      <c r="C9" s="20">
        <f>C$8*$B9</f>
        <v>25</v>
      </c>
      <c r="D9" s="20">
        <f>D$8*$B9</f>
        <v>50</v>
      </c>
      <c r="E9" s="20">
        <f t="shared" ref="D9:F9" si="0">E$8*$B9</f>
        <v>100</v>
      </c>
      <c r="F9" s="20">
        <f t="shared" si="0"/>
        <v>250</v>
      </c>
      <c r="G9" s="12" t="str">
        <f ca="1">IF(C9="","",IF(NOT(_xlfn.ISFORMULA(C9)),"✗",IF(NOT(AND(ISNUMBER(SEARCH("$B",_xlfn.FORMULATEXT(C9))),ISNUMBER(SEARCH("$8",_xlfn.FORMULATEXT(C9))))),"✗",IF(ROUND(C9,2)=ROUND(Klíč!A80,2),"✓","✗"))))</f>
        <v>✓</v>
      </c>
      <c r="H9" s="12" t="str">
        <f ca="1">IF(D9="","",IF(NOT(_xlfn.ISFORMULA(D9)),"✗",IF(NOT(AND(ISNUMBER(SEARCH("$B",_xlfn.FORMULATEXT(D9))),ISNUMBER(SEARCH("$8",_xlfn.FORMULATEXT(D9))))),"✗",IF(ROUND(D9,2)=ROUND(Klíč!A81,2),"✓","✗"))))</f>
        <v>✓</v>
      </c>
      <c r="I9" s="12" t="str">
        <f ca="1">IF(E9="","",IF(NOT(_xlfn.ISFORMULA(E9)),"✗",IF(NOT(AND(ISNUMBER(SEARCH("$B",_xlfn.FORMULATEXT(E9))),ISNUMBER(SEARCH("$8",_xlfn.FORMULATEXT(E9))))),"✗",IF(ROUND(E9,2)=ROUND(Klíč!A82,2),"✓","✗"))))</f>
        <v>✓</v>
      </c>
      <c r="J9" s="12" t="str">
        <f ca="1">IF(F9="","",IF(NOT(_xlfn.ISFORMULA(F9)),"✗",IF(NOT(AND(ISNUMBER(SEARCH("$B",_xlfn.FORMULATEXT(F9))),ISNUMBER(SEARCH("$8",_xlfn.FORMULATEXT(F9))))),"✗",IF(ROUND(F9,2)=ROUND(Klíč!A83,2),"✓","✗"))))</f>
        <v>✓</v>
      </c>
    </row>
    <row r="10" spans="2:28" ht="18" customHeight="1" x14ac:dyDescent="0.35">
      <c r="B10" s="49">
        <v>0.1</v>
      </c>
      <c r="C10" s="20">
        <f t="shared" ref="C10:F14" si="1">C$8*$B10</f>
        <v>50</v>
      </c>
      <c r="D10" s="20">
        <f t="shared" si="1"/>
        <v>100</v>
      </c>
      <c r="E10" s="20">
        <f t="shared" si="1"/>
        <v>200</v>
      </c>
      <c r="F10" s="20">
        <f t="shared" si="1"/>
        <v>500</v>
      </c>
      <c r="G10" s="12" t="str">
        <f ca="1">IF(C10="","",IF(NOT(_xlfn.ISFORMULA(C10)),"✗",IF(NOT(AND(ISNUMBER(SEARCH("$B",_xlfn.FORMULATEXT(C10))),ISNUMBER(SEARCH("$8",_xlfn.FORMULATEXT(C10))))),"✗",IF(ROUND(C10,2)=ROUND(Klíč!A84,2),"✓","✗"))))</f>
        <v>✓</v>
      </c>
      <c r="H10" s="12" t="str">
        <f ca="1">IF(D10="","",IF(NOT(_xlfn.ISFORMULA(D10)),"✗",IF(NOT(AND(ISNUMBER(SEARCH("$B",_xlfn.FORMULATEXT(D10))),ISNUMBER(SEARCH("$8",_xlfn.FORMULATEXT(D10))))),"✗",IF(ROUND(D10,2)=ROUND(Klíč!A85,2),"✓","✗"))))</f>
        <v>✓</v>
      </c>
      <c r="I10" s="12" t="str">
        <f ca="1">IF(E10="","",IF(NOT(_xlfn.ISFORMULA(E10)),"✗",IF(NOT(AND(ISNUMBER(SEARCH("$B",_xlfn.FORMULATEXT(E10))),ISNUMBER(SEARCH("$8",_xlfn.FORMULATEXT(E10))))),"✗",IF(ROUND(E10,2)=ROUND(Klíč!A86,2),"✓","✗"))))</f>
        <v>✓</v>
      </c>
      <c r="J10" s="12" t="str">
        <f ca="1">IF(F10="","",IF(NOT(_xlfn.ISFORMULA(F10)),"✗",IF(NOT(AND(ISNUMBER(SEARCH("$B",_xlfn.FORMULATEXT(F10))),ISNUMBER(SEARCH("$8",_xlfn.FORMULATEXT(F10))))),"✗",IF(ROUND(F10,2)=ROUND(Klíč!A87,2),"✓","✗"))))</f>
        <v>✓</v>
      </c>
    </row>
    <row r="11" spans="2:28" ht="18" customHeight="1" x14ac:dyDescent="0.35">
      <c r="B11" s="49">
        <v>0.15</v>
      </c>
      <c r="C11" s="20">
        <f t="shared" si="1"/>
        <v>75</v>
      </c>
      <c r="D11" s="20">
        <f t="shared" si="1"/>
        <v>150</v>
      </c>
      <c r="E11" s="20">
        <f t="shared" si="1"/>
        <v>300</v>
      </c>
      <c r="F11" s="20">
        <f t="shared" si="1"/>
        <v>750</v>
      </c>
      <c r="G11" s="12" t="str">
        <f ca="1">IF(C11="","",IF(NOT(_xlfn.ISFORMULA(C11)),"✗",IF(NOT(AND(ISNUMBER(SEARCH("$B",_xlfn.FORMULATEXT(C11))),ISNUMBER(SEARCH("$8",_xlfn.FORMULATEXT(C11))))),"✗",IF(ROUND(C11,2)=ROUND(Klíč!A88,2),"✓","✗"))))</f>
        <v>✓</v>
      </c>
      <c r="H11" s="12" t="str">
        <f ca="1">IF(D11="","",IF(NOT(_xlfn.ISFORMULA(D11)),"✗",IF(NOT(AND(ISNUMBER(SEARCH("$B",_xlfn.FORMULATEXT(D11))),ISNUMBER(SEARCH("$8",_xlfn.FORMULATEXT(D11))))),"✗",IF(ROUND(D11,2)=ROUND(Klíč!A89,2),"✓","✗"))))</f>
        <v>✓</v>
      </c>
      <c r="I11" s="12" t="str">
        <f ca="1">IF(E11="","",IF(NOT(_xlfn.ISFORMULA(E11)),"✗",IF(NOT(AND(ISNUMBER(SEARCH("$B",_xlfn.FORMULATEXT(E11))),ISNUMBER(SEARCH("$8",_xlfn.FORMULATEXT(E11))))),"✗",IF(ROUND(E11,2)=ROUND(Klíč!A90,2),"✓","✗"))))</f>
        <v>✓</v>
      </c>
      <c r="J11" s="12" t="str">
        <f ca="1">IF(F11="","",IF(NOT(_xlfn.ISFORMULA(F11)),"✗",IF(NOT(AND(ISNUMBER(SEARCH("$B",_xlfn.FORMULATEXT(F11))),ISNUMBER(SEARCH("$8",_xlfn.FORMULATEXT(F11))))),"✗",IF(ROUND(F11,2)=ROUND(Klíč!A91,2),"✓","✗"))))</f>
        <v>✓</v>
      </c>
    </row>
    <row r="12" spans="2:28" ht="18" customHeight="1" x14ac:dyDescent="0.35">
      <c r="B12" s="49">
        <v>0.2</v>
      </c>
      <c r="C12" s="20">
        <f t="shared" si="1"/>
        <v>100</v>
      </c>
      <c r="D12" s="20">
        <f t="shared" si="1"/>
        <v>200</v>
      </c>
      <c r="E12" s="20">
        <f t="shared" si="1"/>
        <v>400</v>
      </c>
      <c r="F12" s="20">
        <f t="shared" si="1"/>
        <v>1000</v>
      </c>
      <c r="G12" s="12" t="str">
        <f ca="1">IF(C12="","",IF(NOT(_xlfn.ISFORMULA(C12)),"✗",IF(NOT(AND(ISNUMBER(SEARCH("$B",_xlfn.FORMULATEXT(C12))),ISNUMBER(SEARCH("$8",_xlfn.FORMULATEXT(C12))))),"✗",IF(ROUND(C12,2)=ROUND(Klíč!A92,2),"✓","✗"))))</f>
        <v>✓</v>
      </c>
      <c r="H12" s="12" t="str">
        <f ca="1">IF(D12="","",IF(NOT(_xlfn.ISFORMULA(D12)),"✗",IF(NOT(AND(ISNUMBER(SEARCH("$B",_xlfn.FORMULATEXT(D12))),ISNUMBER(SEARCH("$8",_xlfn.FORMULATEXT(D12))))),"✗",IF(ROUND(D12,2)=ROUND(Klíč!A93,2),"✓","✗"))))</f>
        <v>✓</v>
      </c>
      <c r="I12" s="12" t="str">
        <f ca="1">IF(E12="","",IF(NOT(_xlfn.ISFORMULA(E12)),"✗",IF(NOT(AND(ISNUMBER(SEARCH("$B",_xlfn.FORMULATEXT(E12))),ISNUMBER(SEARCH("$8",_xlfn.FORMULATEXT(E12))))),"✗",IF(ROUND(E12,2)=ROUND(Klíč!A94,2),"✓","✗"))))</f>
        <v>✓</v>
      </c>
      <c r="J12" s="12" t="str">
        <f ca="1">IF(F12="","",IF(NOT(_xlfn.ISFORMULA(F12)),"✗",IF(NOT(AND(ISNUMBER(SEARCH("$B",_xlfn.FORMULATEXT(F12))),ISNUMBER(SEARCH("$8",_xlfn.FORMULATEXT(F12))))),"✗",IF(ROUND(F12,2)=ROUND(Klíč!A95,2),"✓","✗"))))</f>
        <v>✓</v>
      </c>
    </row>
    <row r="13" spans="2:28" ht="18" customHeight="1" x14ac:dyDescent="0.35">
      <c r="B13" s="49">
        <v>0.25</v>
      </c>
      <c r="C13" s="20">
        <f t="shared" si="1"/>
        <v>125</v>
      </c>
      <c r="D13" s="20">
        <f t="shared" si="1"/>
        <v>250</v>
      </c>
      <c r="E13" s="20">
        <f t="shared" si="1"/>
        <v>500</v>
      </c>
      <c r="F13" s="20">
        <f t="shared" si="1"/>
        <v>1250</v>
      </c>
      <c r="G13" s="12" t="str">
        <f ca="1">IF(C13="","",IF(NOT(_xlfn.ISFORMULA(C13)),"✗",IF(NOT(AND(ISNUMBER(SEARCH("$B",_xlfn.FORMULATEXT(C13))),ISNUMBER(SEARCH("$8",_xlfn.FORMULATEXT(C13))))),"✗",IF(ROUND(C13,2)=ROUND(Klíč!A96,2),"✓","✗"))))</f>
        <v>✓</v>
      </c>
      <c r="H13" s="12" t="str">
        <f ca="1">IF(D13="","",IF(NOT(_xlfn.ISFORMULA(D13)),"✗",IF(NOT(AND(ISNUMBER(SEARCH("$B",_xlfn.FORMULATEXT(D13))),ISNUMBER(SEARCH("$8",_xlfn.FORMULATEXT(D13))))),"✗",IF(ROUND(D13,2)=ROUND(Klíč!A97,2),"✓","✗"))))</f>
        <v>✓</v>
      </c>
      <c r="I13" s="12" t="str">
        <f ca="1">IF(E13="","",IF(NOT(_xlfn.ISFORMULA(E13)),"✗",IF(NOT(AND(ISNUMBER(SEARCH("$B",_xlfn.FORMULATEXT(E13))),ISNUMBER(SEARCH("$8",_xlfn.FORMULATEXT(E13))))),"✗",IF(ROUND(E13,2)=ROUND(Klíč!A98,2),"✓","✗"))))</f>
        <v>✓</v>
      </c>
      <c r="J13" s="12" t="str">
        <f ca="1">IF(F13="","",IF(NOT(_xlfn.ISFORMULA(F13)),"✗",IF(NOT(AND(ISNUMBER(SEARCH("$B",_xlfn.FORMULATEXT(F13))),ISNUMBER(SEARCH("$8",_xlfn.FORMULATEXT(F13))))),"✗",IF(ROUND(F13,2)=ROUND(Klíč!A99,2),"✓","✗"))))</f>
        <v>✓</v>
      </c>
    </row>
    <row r="14" spans="2:28" ht="18" customHeight="1" x14ac:dyDescent="0.35">
      <c r="B14" s="49">
        <v>0.5</v>
      </c>
      <c r="C14" s="20">
        <f t="shared" si="1"/>
        <v>250</v>
      </c>
      <c r="D14" s="20">
        <f t="shared" si="1"/>
        <v>500</v>
      </c>
      <c r="E14" s="20">
        <f t="shared" si="1"/>
        <v>1000</v>
      </c>
      <c r="F14" s="20">
        <f t="shared" si="1"/>
        <v>2500</v>
      </c>
      <c r="G14" s="12" t="str">
        <f ca="1">IF(C14="","",IF(NOT(_xlfn.ISFORMULA(C14)),"✗",IF(NOT(AND(ISNUMBER(SEARCH("$B",_xlfn.FORMULATEXT(C14))),ISNUMBER(SEARCH("$8",_xlfn.FORMULATEXT(C14))))),"✗",IF(ROUND(C14,2)=ROUND(Klíč!A100,2),"✓","✗"))))</f>
        <v>✓</v>
      </c>
      <c r="H14" s="12" t="str">
        <f ca="1">IF(D14="","",IF(NOT(_xlfn.ISFORMULA(D14)),"✗",IF(NOT(AND(ISNUMBER(SEARCH("$B",_xlfn.FORMULATEXT(D14))),ISNUMBER(SEARCH("$8",_xlfn.FORMULATEXT(D14))))),"✗",IF(ROUND(D14,2)=ROUND(Klíč!A101,2),"✓","✗"))))</f>
        <v>✓</v>
      </c>
      <c r="I14" s="12" t="str">
        <f ca="1">IF(E14="","",IF(NOT(_xlfn.ISFORMULA(E14)),"✗",IF(NOT(AND(ISNUMBER(SEARCH("$B",_xlfn.FORMULATEXT(E14))),ISNUMBER(SEARCH("$8",_xlfn.FORMULATEXT(E14))))),"✗",IF(ROUND(E14,2)=ROUND(Klíč!A102,2),"✓","✗"))))</f>
        <v>✓</v>
      </c>
      <c r="J14" s="12" t="str">
        <f ca="1">IF(F14="","",IF(NOT(_xlfn.ISFORMULA(F14)),"✗",IF(NOT(AND(ISNUMBER(SEARCH("$B",_xlfn.FORMULATEXT(F14))),ISNUMBER(SEARCH("$8",_xlfn.FORMULATEXT(F14))))),"✗",IF(ROUND(F14,2)=ROUND(Klíč!A103,2),"✓","✗"))))</f>
        <v>✓</v>
      </c>
    </row>
    <row r="16" spans="2:28" x14ac:dyDescent="0.35">
      <c r="B16" s="21" t="s">
        <v>83</v>
      </c>
    </row>
    <row r="17" spans="2:10" x14ac:dyDescent="0.35">
      <c r="B17" s="27" t="s">
        <v>91</v>
      </c>
      <c r="C17" s="26"/>
      <c r="D17" s="26"/>
      <c r="E17" s="26"/>
      <c r="F17" s="26"/>
      <c r="G17" s="26"/>
      <c r="H17" s="26"/>
      <c r="I17" s="26"/>
      <c r="J17" s="26"/>
    </row>
    <row r="18" spans="2:10" x14ac:dyDescent="0.35">
      <c r="B18" s="27" t="s">
        <v>92</v>
      </c>
      <c r="C18" s="26"/>
      <c r="D18" s="26"/>
      <c r="E18" s="26"/>
      <c r="F18" s="26"/>
      <c r="G18" s="26"/>
      <c r="H18" s="26"/>
      <c r="I18" s="26"/>
      <c r="J18" s="26"/>
    </row>
    <row r="20" spans="2:10" ht="18" customHeight="1" x14ac:dyDescent="0.45">
      <c r="B20" s="29" t="s">
        <v>21</v>
      </c>
      <c r="C20" s="26"/>
      <c r="D20" s="26"/>
      <c r="E20" s="30" t="str">
        <f ca="1">AB1 &amp; " / " &amp; AB2 &amp; "  bodů"</f>
        <v>24 / 24  bodů</v>
      </c>
      <c r="F20" s="31"/>
      <c r="G20" s="31"/>
      <c r="H20" s="31"/>
      <c r="I20" s="31"/>
      <c r="J20" s="32"/>
    </row>
  </sheetData>
  <mergeCells count="8">
    <mergeCell ref="E20:J20"/>
    <mergeCell ref="B20:D20"/>
    <mergeCell ref="B6:G6"/>
    <mergeCell ref="B2:G2"/>
    <mergeCell ref="B5:G5"/>
    <mergeCell ref="B17:J17"/>
    <mergeCell ref="B18:J18"/>
    <mergeCell ref="B4:G4"/>
  </mergeCells>
  <conditionalFormatting sqref="G9:J14">
    <cfRule type="cellIs" dxfId="5" priority="2" operator="equal">
      <formula>"✓"</formula>
    </cfRule>
    <cfRule type="cellIs" dxfId="4" priority="3" operator="equal">
      <formula>"✗"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List7"/>
  <dimension ref="B1:AB22"/>
  <sheetViews>
    <sheetView zoomScaleNormal="100" workbookViewId="0">
      <selection activeCell="T18" sqref="T18"/>
    </sheetView>
  </sheetViews>
  <sheetFormatPr defaultColWidth="8.6328125" defaultRowHeight="14.5" x14ac:dyDescent="0.35"/>
  <cols>
    <col min="1" max="1" width="2" customWidth="1"/>
    <col min="2" max="10" width="6" customWidth="1"/>
    <col min="11" max="11" width="2" customWidth="1"/>
    <col min="12" max="18" width="4" customWidth="1"/>
  </cols>
  <sheetData>
    <row r="1" spans="2:28" x14ac:dyDescent="0.35">
      <c r="AB1" s="6">
        <f ca="1">COUNTIF(L9:R15,"✓")</f>
        <v>49</v>
      </c>
    </row>
    <row r="2" spans="2:28" ht="23.25" customHeight="1" x14ac:dyDescent="0.55000000000000004">
      <c r="B2" s="25" t="s">
        <v>93</v>
      </c>
      <c r="C2" s="26"/>
      <c r="D2" s="26"/>
      <c r="E2" s="26"/>
      <c r="F2" s="26"/>
      <c r="G2" s="26"/>
      <c r="H2" s="26"/>
      <c r="I2" s="26"/>
      <c r="J2" s="26"/>
      <c r="K2" s="26"/>
      <c r="AB2" s="6">
        <v>49</v>
      </c>
    </row>
    <row r="4" spans="2:28" x14ac:dyDescent="0.35">
      <c r="B4" s="33" t="s">
        <v>1</v>
      </c>
      <c r="C4" s="26"/>
      <c r="D4" s="26"/>
      <c r="E4" s="26"/>
      <c r="F4" s="26"/>
      <c r="G4" s="26"/>
      <c r="H4" s="26"/>
      <c r="I4" s="26"/>
      <c r="J4" s="26"/>
      <c r="K4" s="26"/>
    </row>
    <row r="5" spans="2:28" x14ac:dyDescent="0.35">
      <c r="B5" s="28" t="s">
        <v>94</v>
      </c>
      <c r="C5" s="26"/>
      <c r="D5" s="26"/>
      <c r="E5" s="26"/>
      <c r="F5" s="26"/>
      <c r="G5" s="26"/>
      <c r="H5" s="26"/>
      <c r="I5" s="26"/>
      <c r="J5" s="26"/>
      <c r="K5" s="26"/>
    </row>
    <row r="6" spans="2:28" x14ac:dyDescent="0.35">
      <c r="B6" s="34" t="s">
        <v>95</v>
      </c>
      <c r="C6" s="26"/>
      <c r="D6" s="26"/>
      <c r="E6" s="26"/>
      <c r="F6" s="26"/>
      <c r="G6" s="26"/>
      <c r="H6" s="26"/>
      <c r="I6" s="26"/>
      <c r="J6" s="26"/>
      <c r="K6" s="26"/>
    </row>
    <row r="7" spans="2:28" x14ac:dyDescent="0.35">
      <c r="B7" s="41" t="s">
        <v>96</v>
      </c>
      <c r="C7" s="26"/>
      <c r="D7" s="26"/>
      <c r="E7" s="26"/>
      <c r="F7" s="26"/>
      <c r="G7" s="26"/>
      <c r="H7" s="26"/>
      <c r="I7" s="26"/>
      <c r="J7" s="26"/>
      <c r="K7" s="26"/>
    </row>
    <row r="8" spans="2:28" ht="15" customHeight="1" x14ac:dyDescent="0.35">
      <c r="C8" s="7" t="s">
        <v>97</v>
      </c>
      <c r="D8" s="7">
        <v>1</v>
      </c>
      <c r="E8" s="7">
        <v>2</v>
      </c>
      <c r="F8" s="7">
        <v>3</v>
      </c>
      <c r="G8" s="7">
        <v>4</v>
      </c>
      <c r="H8" s="7">
        <v>5</v>
      </c>
      <c r="I8" s="7">
        <v>6</v>
      </c>
      <c r="J8" s="7">
        <v>7</v>
      </c>
    </row>
    <row r="9" spans="2:28" ht="18" customHeight="1" x14ac:dyDescent="0.35">
      <c r="C9" s="7">
        <v>1</v>
      </c>
      <c r="D9" s="23">
        <f>$C9*D$8</f>
        <v>1</v>
      </c>
      <c r="E9" s="23">
        <f t="shared" ref="E9:J9" si="0">$C9*E$8</f>
        <v>2</v>
      </c>
      <c r="F9" s="23">
        <f t="shared" si="0"/>
        <v>3</v>
      </c>
      <c r="G9" s="23">
        <f t="shared" si="0"/>
        <v>4</v>
      </c>
      <c r="H9" s="23">
        <f t="shared" si="0"/>
        <v>5</v>
      </c>
      <c r="I9" s="23">
        <f t="shared" si="0"/>
        <v>6</v>
      </c>
      <c r="J9" s="23">
        <f t="shared" si="0"/>
        <v>7</v>
      </c>
      <c r="L9" s="12" t="str">
        <f ca="1">IF(D9="","",IF(NOT(_xlfn.ISFORMULA(D9)),"✗",IF(NOT(AND(ISNUMBER(SEARCH("$C",_xlfn.FORMULATEXT(D9))),ISNUMBER(SEARCH("$8",_xlfn.FORMULATEXT(D9))))),"✗",IF(ROUND(D9,2)=ROUND(Klíč!A120,2),"✓","✗"))))</f>
        <v>✓</v>
      </c>
      <c r="M9" s="12" t="str">
        <f ca="1">IF(E9="","",IF(NOT(_xlfn.ISFORMULA(E9)),"✗",IF(NOT(AND(ISNUMBER(SEARCH("$C",_xlfn.FORMULATEXT(E9))),ISNUMBER(SEARCH("$8",_xlfn.FORMULATEXT(E9))))),"✗",IF(ROUND(E9,2)=ROUND(Klíč!A121,2),"✓","✗"))))</f>
        <v>✓</v>
      </c>
      <c r="N9" s="12" t="str">
        <f ca="1">IF(F9="","",IF(NOT(_xlfn.ISFORMULA(F9)),"✗",IF(NOT(AND(ISNUMBER(SEARCH("$C",_xlfn.FORMULATEXT(F9))),ISNUMBER(SEARCH("$8",_xlfn.FORMULATEXT(F9))))),"✗",IF(ROUND(F9,2)=ROUND(Klíč!A122,2),"✓","✗"))))</f>
        <v>✓</v>
      </c>
      <c r="O9" s="12" t="str">
        <f ca="1">IF(G9="","",IF(NOT(_xlfn.ISFORMULA(G9)),"✗",IF(NOT(AND(ISNUMBER(SEARCH("$C",_xlfn.FORMULATEXT(G9))),ISNUMBER(SEARCH("$8",_xlfn.FORMULATEXT(G9))))),"✗",IF(ROUND(G9,2)=ROUND(Klíč!A123,2),"✓","✗"))))</f>
        <v>✓</v>
      </c>
      <c r="P9" s="12" t="str">
        <f ca="1">IF(H9="","",IF(NOT(_xlfn.ISFORMULA(H9)),"✗",IF(NOT(AND(ISNUMBER(SEARCH("$C",_xlfn.FORMULATEXT(H9))),ISNUMBER(SEARCH("$8",_xlfn.FORMULATEXT(H9))))),"✗",IF(ROUND(H9,2)=ROUND(Klíč!A124,2),"✓","✗"))))</f>
        <v>✓</v>
      </c>
      <c r="Q9" s="12" t="str">
        <f ca="1">IF(I9="","",IF(NOT(_xlfn.ISFORMULA(I9)),"✗",IF(NOT(AND(ISNUMBER(SEARCH("$C",_xlfn.FORMULATEXT(I9))),ISNUMBER(SEARCH("$8",_xlfn.FORMULATEXT(I9))))),"✗",IF(ROUND(I9,2)=ROUND(Klíč!A125,2),"✓","✗"))))</f>
        <v>✓</v>
      </c>
      <c r="R9" s="12" t="str">
        <f ca="1">IF(J9="","",IF(NOT(_xlfn.ISFORMULA(J9)),"✗",IF(NOT(AND(ISNUMBER(SEARCH("$C",_xlfn.FORMULATEXT(J9))),ISNUMBER(SEARCH("$8",_xlfn.FORMULATEXT(J9))))),"✗",IF(ROUND(J9,2)=ROUND(Klíč!A126,2),"✓","✗"))))</f>
        <v>✓</v>
      </c>
    </row>
    <row r="10" spans="2:28" ht="18" customHeight="1" x14ac:dyDescent="0.35">
      <c r="C10" s="7">
        <v>2</v>
      </c>
      <c r="D10" s="23">
        <f t="shared" ref="D10:J15" si="1">$C10*D$8</f>
        <v>2</v>
      </c>
      <c r="E10" s="23">
        <f t="shared" si="1"/>
        <v>4</v>
      </c>
      <c r="F10" s="23">
        <f t="shared" si="1"/>
        <v>6</v>
      </c>
      <c r="G10" s="23">
        <f t="shared" si="1"/>
        <v>8</v>
      </c>
      <c r="H10" s="23">
        <f t="shared" si="1"/>
        <v>10</v>
      </c>
      <c r="I10" s="23">
        <f t="shared" si="1"/>
        <v>12</v>
      </c>
      <c r="J10" s="23">
        <f t="shared" si="1"/>
        <v>14</v>
      </c>
      <c r="L10" s="12" t="str">
        <f ca="1">IF(D10="","",IF(NOT(_xlfn.ISFORMULA(D10)),"✗",IF(NOT(AND(ISNUMBER(SEARCH("$C",_xlfn.FORMULATEXT(D10))),ISNUMBER(SEARCH("$8",_xlfn.FORMULATEXT(D10))))),"✗",IF(ROUND(D10,2)=ROUND(Klíč!A127,2),"✓","✗"))))</f>
        <v>✓</v>
      </c>
      <c r="M10" s="12" t="str">
        <f ca="1">IF(E10="","",IF(NOT(_xlfn.ISFORMULA(E10)),"✗",IF(NOT(AND(ISNUMBER(SEARCH("$C",_xlfn.FORMULATEXT(E10))),ISNUMBER(SEARCH("$8",_xlfn.FORMULATEXT(E10))))),"✗",IF(ROUND(E10,2)=ROUND(Klíč!A128,2),"✓","✗"))))</f>
        <v>✓</v>
      </c>
      <c r="N10" s="12" t="str">
        <f ca="1">IF(F10="","",IF(NOT(_xlfn.ISFORMULA(F10)),"✗",IF(NOT(AND(ISNUMBER(SEARCH("$C",_xlfn.FORMULATEXT(F10))),ISNUMBER(SEARCH("$8",_xlfn.FORMULATEXT(F10))))),"✗",IF(ROUND(F10,2)=ROUND(Klíč!A129,2),"✓","✗"))))</f>
        <v>✓</v>
      </c>
      <c r="O10" s="12" t="str">
        <f ca="1">IF(G10="","",IF(NOT(_xlfn.ISFORMULA(G10)),"✗",IF(NOT(AND(ISNUMBER(SEARCH("$C",_xlfn.FORMULATEXT(G10))),ISNUMBER(SEARCH("$8",_xlfn.FORMULATEXT(G10))))),"✗",IF(ROUND(G10,2)=ROUND(Klíč!A130,2),"✓","✗"))))</f>
        <v>✓</v>
      </c>
      <c r="P10" s="12" t="str">
        <f ca="1">IF(H10="","",IF(NOT(_xlfn.ISFORMULA(H10)),"✗",IF(NOT(AND(ISNUMBER(SEARCH("$C",_xlfn.FORMULATEXT(H10))),ISNUMBER(SEARCH("$8",_xlfn.FORMULATEXT(H10))))),"✗",IF(ROUND(H10,2)=ROUND(Klíč!A131,2),"✓","✗"))))</f>
        <v>✓</v>
      </c>
      <c r="Q10" s="12" t="str">
        <f ca="1">IF(I10="","",IF(NOT(_xlfn.ISFORMULA(I10)),"✗",IF(NOT(AND(ISNUMBER(SEARCH("$C",_xlfn.FORMULATEXT(I10))),ISNUMBER(SEARCH("$8",_xlfn.FORMULATEXT(I10))))),"✗",IF(ROUND(I10,2)=ROUND(Klíč!A132,2),"✓","✗"))))</f>
        <v>✓</v>
      </c>
      <c r="R10" s="12" t="str">
        <f ca="1">IF(J10="","",IF(NOT(_xlfn.ISFORMULA(J10)),"✗",IF(NOT(AND(ISNUMBER(SEARCH("$C",_xlfn.FORMULATEXT(J10))),ISNUMBER(SEARCH("$8",_xlfn.FORMULATEXT(J10))))),"✗",IF(ROUND(J10,2)=ROUND(Klíč!A133,2),"✓","✗"))))</f>
        <v>✓</v>
      </c>
    </row>
    <row r="11" spans="2:28" ht="18" customHeight="1" x14ac:dyDescent="0.35">
      <c r="C11" s="7">
        <v>3</v>
      </c>
      <c r="D11" s="23">
        <f t="shared" si="1"/>
        <v>3</v>
      </c>
      <c r="E11" s="23">
        <f t="shared" si="1"/>
        <v>6</v>
      </c>
      <c r="F11" s="23">
        <f t="shared" si="1"/>
        <v>9</v>
      </c>
      <c r="G11" s="23">
        <f t="shared" si="1"/>
        <v>12</v>
      </c>
      <c r="H11" s="23">
        <f t="shared" si="1"/>
        <v>15</v>
      </c>
      <c r="I11" s="23">
        <f t="shared" si="1"/>
        <v>18</v>
      </c>
      <c r="J11" s="23">
        <f t="shared" si="1"/>
        <v>21</v>
      </c>
      <c r="L11" s="12" t="str">
        <f ca="1">IF(D11="","",IF(NOT(_xlfn.ISFORMULA(D11)),"✗",IF(NOT(AND(ISNUMBER(SEARCH("$C",_xlfn.FORMULATEXT(D11))),ISNUMBER(SEARCH("$8",_xlfn.FORMULATEXT(D11))))),"✗",IF(ROUND(D11,2)=ROUND(Klíč!A134,2),"✓","✗"))))</f>
        <v>✓</v>
      </c>
      <c r="M11" s="12" t="str">
        <f ca="1">IF(E11="","",IF(NOT(_xlfn.ISFORMULA(E11)),"✗",IF(NOT(AND(ISNUMBER(SEARCH("$C",_xlfn.FORMULATEXT(E11))),ISNUMBER(SEARCH("$8",_xlfn.FORMULATEXT(E11))))),"✗",IF(ROUND(E11,2)=ROUND(Klíč!A135,2),"✓","✗"))))</f>
        <v>✓</v>
      </c>
      <c r="N11" s="12" t="str">
        <f ca="1">IF(F11="","",IF(NOT(_xlfn.ISFORMULA(F11)),"✗",IF(NOT(AND(ISNUMBER(SEARCH("$C",_xlfn.FORMULATEXT(F11))),ISNUMBER(SEARCH("$8",_xlfn.FORMULATEXT(F11))))),"✗",IF(ROUND(F11,2)=ROUND(Klíč!A136,2),"✓","✗"))))</f>
        <v>✓</v>
      </c>
      <c r="O11" s="12" t="str">
        <f ca="1">IF(G11="","",IF(NOT(_xlfn.ISFORMULA(G11)),"✗",IF(NOT(AND(ISNUMBER(SEARCH("$C",_xlfn.FORMULATEXT(G11))),ISNUMBER(SEARCH("$8",_xlfn.FORMULATEXT(G11))))),"✗",IF(ROUND(G11,2)=ROUND(Klíč!A137,2),"✓","✗"))))</f>
        <v>✓</v>
      </c>
      <c r="P11" s="12" t="str">
        <f ca="1">IF(H11="","",IF(NOT(_xlfn.ISFORMULA(H11)),"✗",IF(NOT(AND(ISNUMBER(SEARCH("$C",_xlfn.FORMULATEXT(H11))),ISNUMBER(SEARCH("$8",_xlfn.FORMULATEXT(H11))))),"✗",IF(ROUND(H11,2)=ROUND(Klíč!A138,2),"✓","✗"))))</f>
        <v>✓</v>
      </c>
      <c r="Q11" s="12" t="str">
        <f ca="1">IF(I11="","",IF(NOT(_xlfn.ISFORMULA(I11)),"✗",IF(NOT(AND(ISNUMBER(SEARCH("$C",_xlfn.FORMULATEXT(I11))),ISNUMBER(SEARCH("$8",_xlfn.FORMULATEXT(I11))))),"✗",IF(ROUND(I11,2)=ROUND(Klíč!A139,2),"✓","✗"))))</f>
        <v>✓</v>
      </c>
      <c r="R11" s="12" t="str">
        <f ca="1">IF(J11="","",IF(NOT(_xlfn.ISFORMULA(J11)),"✗",IF(NOT(AND(ISNUMBER(SEARCH("$C",_xlfn.FORMULATEXT(J11))),ISNUMBER(SEARCH("$8",_xlfn.FORMULATEXT(J11))))),"✗",IF(ROUND(J11,2)=ROUND(Klíč!A140,2),"✓","✗"))))</f>
        <v>✓</v>
      </c>
    </row>
    <row r="12" spans="2:28" ht="18" customHeight="1" x14ac:dyDescent="0.35">
      <c r="C12" s="7">
        <v>4</v>
      </c>
      <c r="D12" s="23">
        <f t="shared" si="1"/>
        <v>4</v>
      </c>
      <c r="E12" s="23">
        <f t="shared" si="1"/>
        <v>8</v>
      </c>
      <c r="F12" s="23">
        <f t="shared" si="1"/>
        <v>12</v>
      </c>
      <c r="G12" s="23">
        <f t="shared" si="1"/>
        <v>16</v>
      </c>
      <c r="H12" s="23">
        <f t="shared" si="1"/>
        <v>20</v>
      </c>
      <c r="I12" s="23">
        <f t="shared" si="1"/>
        <v>24</v>
      </c>
      <c r="J12" s="23">
        <f t="shared" si="1"/>
        <v>28</v>
      </c>
      <c r="L12" s="12" t="str">
        <f ca="1">IF(D12="","",IF(NOT(_xlfn.ISFORMULA(D12)),"✗",IF(NOT(AND(ISNUMBER(SEARCH("$C",_xlfn.FORMULATEXT(D12))),ISNUMBER(SEARCH("$8",_xlfn.FORMULATEXT(D12))))),"✗",IF(ROUND(D12,2)=ROUND(Klíč!A141,2),"✓","✗"))))</f>
        <v>✓</v>
      </c>
      <c r="M12" s="12" t="str">
        <f ca="1">IF(E12="","",IF(NOT(_xlfn.ISFORMULA(E12)),"✗",IF(NOT(AND(ISNUMBER(SEARCH("$C",_xlfn.FORMULATEXT(E12))),ISNUMBER(SEARCH("$8",_xlfn.FORMULATEXT(E12))))),"✗",IF(ROUND(E12,2)=ROUND(Klíč!A142,2),"✓","✗"))))</f>
        <v>✓</v>
      </c>
      <c r="N12" s="12" t="str">
        <f ca="1">IF(F12="","",IF(NOT(_xlfn.ISFORMULA(F12)),"✗",IF(NOT(AND(ISNUMBER(SEARCH("$C",_xlfn.FORMULATEXT(F12))),ISNUMBER(SEARCH("$8",_xlfn.FORMULATEXT(F12))))),"✗",IF(ROUND(F12,2)=ROUND(Klíč!A143,2),"✓","✗"))))</f>
        <v>✓</v>
      </c>
      <c r="O12" s="12" t="str">
        <f ca="1">IF(G12="","",IF(NOT(_xlfn.ISFORMULA(G12)),"✗",IF(NOT(AND(ISNUMBER(SEARCH("$C",_xlfn.FORMULATEXT(G12))),ISNUMBER(SEARCH("$8",_xlfn.FORMULATEXT(G12))))),"✗",IF(ROUND(G12,2)=ROUND(Klíč!A144,2),"✓","✗"))))</f>
        <v>✓</v>
      </c>
      <c r="P12" s="12" t="str">
        <f ca="1">IF(H12="","",IF(NOT(_xlfn.ISFORMULA(H12)),"✗",IF(NOT(AND(ISNUMBER(SEARCH("$C",_xlfn.FORMULATEXT(H12))),ISNUMBER(SEARCH("$8",_xlfn.FORMULATEXT(H12))))),"✗",IF(ROUND(H12,2)=ROUND(Klíč!A145,2),"✓","✗"))))</f>
        <v>✓</v>
      </c>
      <c r="Q12" s="12" t="str">
        <f ca="1">IF(I12="","",IF(NOT(_xlfn.ISFORMULA(I12)),"✗",IF(NOT(AND(ISNUMBER(SEARCH("$C",_xlfn.FORMULATEXT(I12))),ISNUMBER(SEARCH("$8",_xlfn.FORMULATEXT(I12))))),"✗",IF(ROUND(I12,2)=ROUND(Klíč!A146,2),"✓","✗"))))</f>
        <v>✓</v>
      </c>
      <c r="R12" s="12" t="str">
        <f ca="1">IF(J12="","",IF(NOT(_xlfn.ISFORMULA(J12)),"✗",IF(NOT(AND(ISNUMBER(SEARCH("$C",_xlfn.FORMULATEXT(J12))),ISNUMBER(SEARCH("$8",_xlfn.FORMULATEXT(J12))))),"✗",IF(ROUND(J12,2)=ROUND(Klíč!A147,2),"✓","✗"))))</f>
        <v>✓</v>
      </c>
    </row>
    <row r="13" spans="2:28" ht="18" customHeight="1" x14ac:dyDescent="0.35">
      <c r="C13" s="7">
        <v>5</v>
      </c>
      <c r="D13" s="23">
        <f t="shared" si="1"/>
        <v>5</v>
      </c>
      <c r="E13" s="23">
        <f t="shared" si="1"/>
        <v>10</v>
      </c>
      <c r="F13" s="23">
        <f t="shared" si="1"/>
        <v>15</v>
      </c>
      <c r="G13" s="23">
        <f t="shared" si="1"/>
        <v>20</v>
      </c>
      <c r="H13" s="23">
        <f t="shared" si="1"/>
        <v>25</v>
      </c>
      <c r="I13" s="23">
        <f t="shared" si="1"/>
        <v>30</v>
      </c>
      <c r="J13" s="23">
        <f t="shared" si="1"/>
        <v>35</v>
      </c>
      <c r="L13" s="12" t="str">
        <f ca="1">IF(D13="","",IF(NOT(_xlfn.ISFORMULA(D13)),"✗",IF(NOT(AND(ISNUMBER(SEARCH("$C",_xlfn.FORMULATEXT(D13))),ISNUMBER(SEARCH("$8",_xlfn.FORMULATEXT(D13))))),"✗",IF(ROUND(D13,2)=ROUND(Klíč!A148,2),"✓","✗"))))</f>
        <v>✓</v>
      </c>
      <c r="M13" s="12" t="str">
        <f ca="1">IF(E13="","",IF(NOT(_xlfn.ISFORMULA(E13)),"✗",IF(NOT(AND(ISNUMBER(SEARCH("$C",_xlfn.FORMULATEXT(E13))),ISNUMBER(SEARCH("$8",_xlfn.FORMULATEXT(E13))))),"✗",IF(ROUND(E13,2)=ROUND(Klíč!A149,2),"✓","✗"))))</f>
        <v>✓</v>
      </c>
      <c r="N13" s="12" t="str">
        <f ca="1">IF(F13="","",IF(NOT(_xlfn.ISFORMULA(F13)),"✗",IF(NOT(AND(ISNUMBER(SEARCH("$C",_xlfn.FORMULATEXT(F13))),ISNUMBER(SEARCH("$8",_xlfn.FORMULATEXT(F13))))),"✗",IF(ROUND(F13,2)=ROUND(Klíč!A150,2),"✓","✗"))))</f>
        <v>✓</v>
      </c>
      <c r="O13" s="12" t="str">
        <f ca="1">IF(G13="","",IF(NOT(_xlfn.ISFORMULA(G13)),"✗",IF(NOT(AND(ISNUMBER(SEARCH("$C",_xlfn.FORMULATEXT(G13))),ISNUMBER(SEARCH("$8",_xlfn.FORMULATEXT(G13))))),"✗",IF(ROUND(G13,2)=ROUND(Klíč!A151,2),"✓","✗"))))</f>
        <v>✓</v>
      </c>
      <c r="P13" s="12" t="str">
        <f ca="1">IF(H13="","",IF(NOT(_xlfn.ISFORMULA(H13)),"✗",IF(NOT(AND(ISNUMBER(SEARCH("$C",_xlfn.FORMULATEXT(H13))),ISNUMBER(SEARCH("$8",_xlfn.FORMULATEXT(H13))))),"✗",IF(ROUND(H13,2)=ROUND(Klíč!A152,2),"✓","✗"))))</f>
        <v>✓</v>
      </c>
      <c r="Q13" s="12" t="str">
        <f ca="1">IF(I13="","",IF(NOT(_xlfn.ISFORMULA(I13)),"✗",IF(NOT(AND(ISNUMBER(SEARCH("$C",_xlfn.FORMULATEXT(I13))),ISNUMBER(SEARCH("$8",_xlfn.FORMULATEXT(I13))))),"✗",IF(ROUND(I13,2)=ROUND(Klíč!A153,2),"✓","✗"))))</f>
        <v>✓</v>
      </c>
      <c r="R13" s="12" t="str">
        <f ca="1">IF(J13="","",IF(NOT(_xlfn.ISFORMULA(J13)),"✗",IF(NOT(AND(ISNUMBER(SEARCH("$C",_xlfn.FORMULATEXT(J13))),ISNUMBER(SEARCH("$8",_xlfn.FORMULATEXT(J13))))),"✗",IF(ROUND(J13,2)=ROUND(Klíč!A154,2),"✓","✗"))))</f>
        <v>✓</v>
      </c>
    </row>
    <row r="14" spans="2:28" ht="18" customHeight="1" x14ac:dyDescent="0.35">
      <c r="C14" s="7">
        <v>6</v>
      </c>
      <c r="D14" s="23">
        <f t="shared" si="1"/>
        <v>6</v>
      </c>
      <c r="E14" s="23">
        <f t="shared" si="1"/>
        <v>12</v>
      </c>
      <c r="F14" s="23">
        <f t="shared" si="1"/>
        <v>18</v>
      </c>
      <c r="G14" s="23">
        <f t="shared" si="1"/>
        <v>24</v>
      </c>
      <c r="H14" s="23">
        <f t="shared" si="1"/>
        <v>30</v>
      </c>
      <c r="I14" s="23">
        <f t="shared" si="1"/>
        <v>36</v>
      </c>
      <c r="J14" s="23">
        <f t="shared" si="1"/>
        <v>42</v>
      </c>
      <c r="L14" s="12" t="str">
        <f ca="1">IF(D14="","",IF(NOT(_xlfn.ISFORMULA(D14)),"✗",IF(NOT(AND(ISNUMBER(SEARCH("$C",_xlfn.FORMULATEXT(D14))),ISNUMBER(SEARCH("$8",_xlfn.FORMULATEXT(D14))))),"✗",IF(ROUND(D14,2)=ROUND(Klíč!A155,2),"✓","✗"))))</f>
        <v>✓</v>
      </c>
      <c r="M14" s="12" t="str">
        <f ca="1">IF(E14="","",IF(NOT(_xlfn.ISFORMULA(E14)),"✗",IF(NOT(AND(ISNUMBER(SEARCH("$C",_xlfn.FORMULATEXT(E14))),ISNUMBER(SEARCH("$8",_xlfn.FORMULATEXT(E14))))),"✗",IF(ROUND(E14,2)=ROUND(Klíč!A156,2),"✓","✗"))))</f>
        <v>✓</v>
      </c>
      <c r="N14" s="12" t="str">
        <f ca="1">IF(F14="","",IF(NOT(_xlfn.ISFORMULA(F14)),"✗",IF(NOT(AND(ISNUMBER(SEARCH("$C",_xlfn.FORMULATEXT(F14))),ISNUMBER(SEARCH("$8",_xlfn.FORMULATEXT(F14))))),"✗",IF(ROUND(F14,2)=ROUND(Klíč!A157,2),"✓","✗"))))</f>
        <v>✓</v>
      </c>
      <c r="O14" s="12" t="str">
        <f ca="1">IF(G14="","",IF(NOT(_xlfn.ISFORMULA(G14)),"✗",IF(NOT(AND(ISNUMBER(SEARCH("$C",_xlfn.FORMULATEXT(G14))),ISNUMBER(SEARCH("$8",_xlfn.FORMULATEXT(G14))))),"✗",IF(ROUND(G14,2)=ROUND(Klíč!A158,2),"✓","✗"))))</f>
        <v>✓</v>
      </c>
      <c r="P14" s="12" t="str">
        <f ca="1">IF(H14="","",IF(NOT(_xlfn.ISFORMULA(H14)),"✗",IF(NOT(AND(ISNUMBER(SEARCH("$C",_xlfn.FORMULATEXT(H14))),ISNUMBER(SEARCH("$8",_xlfn.FORMULATEXT(H14))))),"✗",IF(ROUND(H14,2)=ROUND(Klíč!A159,2),"✓","✗"))))</f>
        <v>✓</v>
      </c>
      <c r="Q14" s="12" t="str">
        <f ca="1">IF(I14="","",IF(NOT(_xlfn.ISFORMULA(I14)),"✗",IF(NOT(AND(ISNUMBER(SEARCH("$C",_xlfn.FORMULATEXT(I14))),ISNUMBER(SEARCH("$8",_xlfn.FORMULATEXT(I14))))),"✗",IF(ROUND(I14,2)=ROUND(Klíč!A160,2),"✓","✗"))))</f>
        <v>✓</v>
      </c>
      <c r="R14" s="12" t="str">
        <f ca="1">IF(J14="","",IF(NOT(_xlfn.ISFORMULA(J14)),"✗",IF(NOT(AND(ISNUMBER(SEARCH("$C",_xlfn.FORMULATEXT(J14))),ISNUMBER(SEARCH("$8",_xlfn.FORMULATEXT(J14))))),"✗",IF(ROUND(J14,2)=ROUND(Klíč!A161,2),"✓","✗"))))</f>
        <v>✓</v>
      </c>
    </row>
    <row r="15" spans="2:28" ht="18" customHeight="1" x14ac:dyDescent="0.35">
      <c r="C15" s="7">
        <v>7</v>
      </c>
      <c r="D15" s="23">
        <f t="shared" si="1"/>
        <v>7</v>
      </c>
      <c r="E15" s="23">
        <f t="shared" si="1"/>
        <v>14</v>
      </c>
      <c r="F15" s="23">
        <f t="shared" si="1"/>
        <v>21</v>
      </c>
      <c r="G15" s="23">
        <f t="shared" si="1"/>
        <v>28</v>
      </c>
      <c r="H15" s="23">
        <f t="shared" si="1"/>
        <v>35</v>
      </c>
      <c r="I15" s="23">
        <f t="shared" si="1"/>
        <v>42</v>
      </c>
      <c r="J15" s="23">
        <f t="shared" si="1"/>
        <v>49</v>
      </c>
      <c r="L15" s="12" t="str">
        <f ca="1">IF(D15="","",IF(NOT(_xlfn.ISFORMULA(D15)),"✗",IF(NOT(AND(ISNUMBER(SEARCH("$C",_xlfn.FORMULATEXT(D15))),ISNUMBER(SEARCH("$8",_xlfn.FORMULATEXT(D15))))),"✗",IF(ROUND(D15,2)=ROUND(Klíč!A162,2),"✓","✗"))))</f>
        <v>✓</v>
      </c>
      <c r="M15" s="12" t="str">
        <f ca="1">IF(E15="","",IF(NOT(_xlfn.ISFORMULA(E15)),"✗",IF(NOT(AND(ISNUMBER(SEARCH("$C",_xlfn.FORMULATEXT(E15))),ISNUMBER(SEARCH("$8",_xlfn.FORMULATEXT(E15))))),"✗",IF(ROUND(E15,2)=ROUND(Klíč!A163,2),"✓","✗"))))</f>
        <v>✓</v>
      </c>
      <c r="N15" s="12" t="str">
        <f ca="1">IF(F15="","",IF(NOT(_xlfn.ISFORMULA(F15)),"✗",IF(NOT(AND(ISNUMBER(SEARCH("$C",_xlfn.FORMULATEXT(F15))),ISNUMBER(SEARCH("$8",_xlfn.FORMULATEXT(F15))))),"✗",IF(ROUND(F15,2)=ROUND(Klíč!A164,2),"✓","✗"))))</f>
        <v>✓</v>
      </c>
      <c r="O15" s="12" t="str">
        <f ca="1">IF(G15="","",IF(NOT(_xlfn.ISFORMULA(G15)),"✗",IF(NOT(AND(ISNUMBER(SEARCH("$C",_xlfn.FORMULATEXT(G15))),ISNUMBER(SEARCH("$8",_xlfn.FORMULATEXT(G15))))),"✗",IF(ROUND(G15,2)=ROUND(Klíč!A165,2),"✓","✗"))))</f>
        <v>✓</v>
      </c>
      <c r="P15" s="12" t="str">
        <f ca="1">IF(H15="","",IF(NOT(_xlfn.ISFORMULA(H15)),"✗",IF(NOT(AND(ISNUMBER(SEARCH("$C",_xlfn.FORMULATEXT(H15))),ISNUMBER(SEARCH("$8",_xlfn.FORMULATEXT(H15))))),"✗",IF(ROUND(H15,2)=ROUND(Klíč!A166,2),"✓","✗"))))</f>
        <v>✓</v>
      </c>
      <c r="Q15" s="12" t="str">
        <f ca="1">IF(I15="","",IF(NOT(_xlfn.ISFORMULA(I15)),"✗",IF(NOT(AND(ISNUMBER(SEARCH("$C",_xlfn.FORMULATEXT(I15))),ISNUMBER(SEARCH("$8",_xlfn.FORMULATEXT(I15))))),"✗",IF(ROUND(I15,2)=ROUND(Klíč!A167,2),"✓","✗"))))</f>
        <v>✓</v>
      </c>
      <c r="R15" s="12" t="str">
        <f ca="1">IF(J15="","",IF(NOT(_xlfn.ISFORMULA(J15)),"✗",IF(NOT(AND(ISNUMBER(SEARCH("$C",_xlfn.FORMULATEXT(J15))),ISNUMBER(SEARCH("$8",_xlfn.FORMULATEXT(J15))))),"✗",IF(ROUND(J15,2)=ROUND(Klíč!A168,2),"✓","✗"))))</f>
        <v>✓</v>
      </c>
    </row>
    <row r="17" spans="2:11" x14ac:dyDescent="0.35">
      <c r="B17" s="21" t="s">
        <v>98</v>
      </c>
    </row>
    <row r="18" spans="2:11" x14ac:dyDescent="0.35">
      <c r="B18" s="27" t="s">
        <v>99</v>
      </c>
      <c r="C18" s="26"/>
      <c r="D18" s="26"/>
      <c r="E18" s="26"/>
      <c r="F18" s="26"/>
      <c r="G18" s="26"/>
      <c r="H18" s="26"/>
      <c r="I18" s="26"/>
      <c r="J18" s="26"/>
      <c r="K18" s="26"/>
    </row>
    <row r="19" spans="2:11" x14ac:dyDescent="0.35">
      <c r="B19" s="38" t="s">
        <v>100</v>
      </c>
      <c r="C19" s="26"/>
      <c r="D19" s="26"/>
      <c r="E19" s="26"/>
      <c r="F19" s="26"/>
      <c r="G19" s="26"/>
      <c r="H19" s="26"/>
      <c r="I19" s="26"/>
      <c r="J19" s="26"/>
      <c r="K19" s="26"/>
    </row>
    <row r="20" spans="2:11" x14ac:dyDescent="0.35">
      <c r="B20" s="38" t="s">
        <v>101</v>
      </c>
      <c r="C20" s="26"/>
      <c r="D20" s="26"/>
      <c r="E20" s="26"/>
      <c r="F20" s="26"/>
      <c r="G20" s="26"/>
      <c r="H20" s="26"/>
      <c r="I20" s="26"/>
      <c r="J20" s="26"/>
      <c r="K20" s="26"/>
    </row>
    <row r="22" spans="2:11" ht="18" customHeight="1" x14ac:dyDescent="0.45">
      <c r="B22" s="29" t="s">
        <v>21</v>
      </c>
      <c r="C22" s="26"/>
      <c r="D22" s="26"/>
      <c r="E22" s="30" t="str">
        <f ca="1">AB1 &amp; " / " &amp; AB2 &amp; "  bodů"</f>
        <v>49 / 49  bodů</v>
      </c>
      <c r="F22" s="31"/>
      <c r="G22" s="31"/>
      <c r="H22" s="31"/>
      <c r="I22" s="31"/>
      <c r="J22" s="31"/>
      <c r="K22" s="32"/>
    </row>
  </sheetData>
  <mergeCells count="10">
    <mergeCell ref="B2:K2"/>
    <mergeCell ref="B20:K20"/>
    <mergeCell ref="B5:K5"/>
    <mergeCell ref="B19:K19"/>
    <mergeCell ref="E22:K22"/>
    <mergeCell ref="B4:K4"/>
    <mergeCell ref="B22:D22"/>
    <mergeCell ref="B18:K18"/>
    <mergeCell ref="B7:K7"/>
    <mergeCell ref="B6:K6"/>
  </mergeCells>
  <conditionalFormatting sqref="L9:R15">
    <cfRule type="cellIs" dxfId="3" priority="2" operator="equal">
      <formula>"✓"</formula>
    </cfRule>
    <cfRule type="cellIs" dxfId="2" priority="3" operator="equal">
      <formula>"✗"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List8"/>
  <dimension ref="B1:AB26"/>
  <sheetViews>
    <sheetView tabSelected="1" zoomScaleNormal="100" workbookViewId="0">
      <selection activeCell="C28" sqref="C28"/>
    </sheetView>
  </sheetViews>
  <sheetFormatPr defaultColWidth="8.6328125" defaultRowHeight="14.5" x14ac:dyDescent="0.35"/>
  <cols>
    <col min="1" max="1" width="2" customWidth="1"/>
    <col min="2" max="2" width="14" customWidth="1"/>
    <col min="3" max="3" width="11" customWidth="1"/>
    <col min="4" max="4" width="12" customWidth="1"/>
    <col min="5" max="5" width="13" customWidth="1"/>
    <col min="6" max="6" width="12" customWidth="1"/>
    <col min="7" max="7" width="13" customWidth="1"/>
    <col min="8" max="10" width="5" customWidth="1"/>
  </cols>
  <sheetData>
    <row r="1" spans="2:28" x14ac:dyDescent="0.35">
      <c r="AB1" s="6">
        <f ca="1">COUNTIF(H11:J18,"✓")</f>
        <v>24</v>
      </c>
    </row>
    <row r="2" spans="2:28" ht="23.25" customHeight="1" x14ac:dyDescent="0.55000000000000004">
      <c r="B2" s="25" t="s">
        <v>102</v>
      </c>
      <c r="C2" s="26"/>
      <c r="D2" s="26"/>
      <c r="E2" s="26"/>
      <c r="F2" s="26"/>
      <c r="G2" s="26"/>
      <c r="H2" s="26"/>
      <c r="AB2" s="6">
        <v>24</v>
      </c>
    </row>
    <row r="4" spans="2:28" x14ac:dyDescent="0.35">
      <c r="B4" s="33" t="s">
        <v>1</v>
      </c>
      <c r="C4" s="26"/>
      <c r="D4" s="26"/>
      <c r="E4" s="26"/>
      <c r="F4" s="26"/>
      <c r="G4" s="26"/>
      <c r="H4" s="26"/>
    </row>
    <row r="5" spans="2:28" x14ac:dyDescent="0.35">
      <c r="B5" s="28" t="s">
        <v>103</v>
      </c>
      <c r="C5" s="26"/>
      <c r="D5" s="26"/>
      <c r="E5" s="26"/>
      <c r="F5" s="26"/>
      <c r="G5" s="26"/>
      <c r="H5" s="26"/>
    </row>
    <row r="6" spans="2:28" x14ac:dyDescent="0.35">
      <c r="B6" s="34" t="s">
        <v>104</v>
      </c>
      <c r="C6" s="26"/>
      <c r="D6" s="26"/>
      <c r="E6" s="26"/>
      <c r="F6" s="26"/>
      <c r="G6" s="26"/>
      <c r="H6" s="26"/>
    </row>
    <row r="8" spans="2:28" ht="18" customHeight="1" x14ac:dyDescent="0.35">
      <c r="B8" s="13" t="s">
        <v>105</v>
      </c>
      <c r="C8" s="50">
        <v>0.15</v>
      </c>
      <c r="D8" s="2" t="s">
        <v>5</v>
      </c>
    </row>
    <row r="10" spans="2:28" ht="15" customHeight="1" x14ac:dyDescent="0.35">
      <c r="B10" s="7" t="s">
        <v>106</v>
      </c>
      <c r="C10" s="7" t="s">
        <v>107</v>
      </c>
      <c r="D10" s="7" t="s">
        <v>108</v>
      </c>
      <c r="E10" s="7" t="s">
        <v>109</v>
      </c>
      <c r="F10" s="7" t="s">
        <v>110</v>
      </c>
      <c r="G10" s="7" t="s">
        <v>111</v>
      </c>
    </row>
    <row r="11" spans="2:28" ht="18" customHeight="1" x14ac:dyDescent="0.35">
      <c r="B11" s="8" t="s">
        <v>112</v>
      </c>
      <c r="C11" s="9">
        <v>168</v>
      </c>
      <c r="D11" s="10">
        <v>280</v>
      </c>
      <c r="E11" s="24">
        <f>C11*D11</f>
        <v>47040</v>
      </c>
      <c r="F11" s="24">
        <f>E11*$C$8</f>
        <v>7056</v>
      </c>
      <c r="G11" s="24">
        <f>E11-F11</f>
        <v>39984</v>
      </c>
      <c r="H11" s="16" t="str">
        <f ca="1">IF(E11="","",IF(NOT(_xlfn.ISFORMULA(E11)),"✗",IF(NOT(AND(ISNUMBER(SEARCH("C11",_xlfn.FORMULATEXT(E11))),ISNUMBER(SEARCH("D11",_xlfn.FORMULATEXT(E11))))),"✗",IF(ROUND(E11,2)=ROUND(Klíč!A200,2),"✓","✗"))))</f>
        <v>✓</v>
      </c>
      <c r="I11" s="16" t="str">
        <f ca="1">IF(F11="","",IF(NOT(_xlfn.ISFORMULA(F11)),"✗",IF(NOT(AND(ISNUMBER(SEARCH("$C$8",_xlfn.FORMULATEXT(F11))),OR(ISNUMBER(SEARCH("E11",_xlfn.FORMULATEXT(F11))),AND(ISNUMBER(SEARCH("C11",_xlfn.FORMULATEXT(F11))),ISNUMBER(SEARCH("D11",_xlfn.FORMULATEXT(F11))))))),"✗",IF(ROUND(F11,2)=ROUND(Klíč!A201,2),"✓","✗"))))</f>
        <v>✓</v>
      </c>
      <c r="J11" s="16" t="str">
        <f ca="1">IF(G11="","",IF(NOT(_xlfn.ISFORMULA(G11)),"✗",IF(NOT(AND(ISNUMBER(SEARCH("E11",_xlfn.FORMULATEXT(G11))),ISNUMBER(SEARCH("F11",_xlfn.FORMULATEXT(G11))))),"✗",IF(ROUND(G11,2)=ROUND(Klíč!A202,2),"✓","✗"))))</f>
        <v>✓</v>
      </c>
    </row>
    <row r="12" spans="2:28" ht="18" customHeight="1" x14ac:dyDescent="0.35">
      <c r="B12" s="8" t="s">
        <v>113</v>
      </c>
      <c r="C12" s="9">
        <v>160</v>
      </c>
      <c r="D12" s="10">
        <v>320</v>
      </c>
      <c r="E12" s="24">
        <f t="shared" ref="E12:E18" si="0">C12*D12</f>
        <v>51200</v>
      </c>
      <c r="F12" s="24">
        <f t="shared" ref="F12:F18" si="1">E12*$C$8</f>
        <v>7680</v>
      </c>
      <c r="G12" s="24">
        <f t="shared" ref="G12:G18" si="2">E12-F12</f>
        <v>43520</v>
      </c>
      <c r="H12" s="16" t="str">
        <f ca="1">IF(E12="","",IF(NOT(_xlfn.ISFORMULA(E12)),"✗",IF(NOT(AND(ISNUMBER(SEARCH("C12",_xlfn.FORMULATEXT(E12))),ISNUMBER(SEARCH("D12",_xlfn.FORMULATEXT(E12))))),"✗",IF(ROUND(E12,2)=ROUND(Klíč!A203,2),"✓","✗"))))</f>
        <v>✓</v>
      </c>
      <c r="I12" s="16" t="str">
        <f ca="1">IF(F12="","",IF(NOT(_xlfn.ISFORMULA(F12)),"✗",IF(NOT(AND(ISNUMBER(SEARCH("$C$8",_xlfn.FORMULATEXT(F12))),OR(ISNUMBER(SEARCH("E12",_xlfn.FORMULATEXT(F12))),AND(ISNUMBER(SEARCH("C12",_xlfn.FORMULATEXT(F12))),ISNUMBER(SEARCH("D12",_xlfn.FORMULATEXT(F12))))))),"✗",IF(ROUND(F12,2)=ROUND(Klíč!A204,2),"✓","✗"))))</f>
        <v>✓</v>
      </c>
      <c r="J12" s="16" t="str">
        <f ca="1">IF(G12="","",IF(NOT(_xlfn.ISFORMULA(G12)),"✗",IF(NOT(AND(ISNUMBER(SEARCH("E12",_xlfn.FORMULATEXT(G12))),ISNUMBER(SEARCH("F12",_xlfn.FORMULATEXT(G12))))),"✗",IF(ROUND(G12,2)=ROUND(Klíč!A205,2),"✓","✗"))))</f>
        <v>✓</v>
      </c>
    </row>
    <row r="13" spans="2:28" ht="18" customHeight="1" x14ac:dyDescent="0.35">
      <c r="B13" s="8" t="s">
        <v>114</v>
      </c>
      <c r="C13" s="9">
        <v>175</v>
      </c>
      <c r="D13" s="10">
        <v>250</v>
      </c>
      <c r="E13" s="24">
        <f t="shared" si="0"/>
        <v>43750</v>
      </c>
      <c r="F13" s="24">
        <f t="shared" si="1"/>
        <v>6562.5</v>
      </c>
      <c r="G13" s="24">
        <f t="shared" si="2"/>
        <v>37187.5</v>
      </c>
      <c r="H13" s="16" t="str">
        <f ca="1">IF(E13="","",IF(NOT(_xlfn.ISFORMULA(E13)),"✗",IF(NOT(AND(ISNUMBER(SEARCH("C13",_xlfn.FORMULATEXT(E13))),ISNUMBER(SEARCH("D13",_xlfn.FORMULATEXT(E13))))),"✗",IF(ROUND(E13,2)=ROUND(Klíč!A206,2),"✓","✗"))))</f>
        <v>✓</v>
      </c>
      <c r="I13" s="16" t="str">
        <f ca="1">IF(F13="","",IF(NOT(_xlfn.ISFORMULA(F13)),"✗",IF(NOT(AND(ISNUMBER(SEARCH("$C$8",_xlfn.FORMULATEXT(F13))),OR(ISNUMBER(SEARCH("E13",_xlfn.FORMULATEXT(F13))),AND(ISNUMBER(SEARCH("C13",_xlfn.FORMULATEXT(F13))),ISNUMBER(SEARCH("D13",_xlfn.FORMULATEXT(F13))))))),"✗",IF(ROUND(F13,2)=ROUND(Klíč!A207,2),"✓","✗"))))</f>
        <v>✓</v>
      </c>
      <c r="J13" s="16" t="str">
        <f ca="1">IF(G13="","",IF(NOT(_xlfn.ISFORMULA(G13)),"✗",IF(NOT(AND(ISNUMBER(SEARCH("E13",_xlfn.FORMULATEXT(G13))),ISNUMBER(SEARCH("F13",_xlfn.FORMULATEXT(G13))))),"✗",IF(ROUND(G13,2)=ROUND(Klíč!A208,2),"✓","✗"))))</f>
        <v>✓</v>
      </c>
    </row>
    <row r="14" spans="2:28" ht="18" customHeight="1" x14ac:dyDescent="0.35">
      <c r="B14" s="8" t="s">
        <v>115</v>
      </c>
      <c r="C14" s="9">
        <v>180</v>
      </c>
      <c r="D14" s="10">
        <v>350</v>
      </c>
      <c r="E14" s="24">
        <f t="shared" si="0"/>
        <v>63000</v>
      </c>
      <c r="F14" s="24">
        <f t="shared" si="1"/>
        <v>9450</v>
      </c>
      <c r="G14" s="24">
        <f t="shared" si="2"/>
        <v>53550</v>
      </c>
      <c r="H14" s="16" t="str">
        <f ca="1">IF(E14="","",IF(NOT(_xlfn.ISFORMULA(E14)),"✗",IF(NOT(AND(ISNUMBER(SEARCH("C14",_xlfn.FORMULATEXT(E14))),ISNUMBER(SEARCH("D14",_xlfn.FORMULATEXT(E14))))),"✗",IF(ROUND(E14,2)=ROUND(Klíč!A209,2),"✓","✗"))))</f>
        <v>✓</v>
      </c>
      <c r="I14" s="16" t="str">
        <f ca="1">IF(F14="","",IF(NOT(_xlfn.ISFORMULA(F14)),"✗",IF(NOT(AND(ISNUMBER(SEARCH("$C$8",_xlfn.FORMULATEXT(F14))),OR(ISNUMBER(SEARCH("E14",_xlfn.FORMULATEXT(F14))),AND(ISNUMBER(SEARCH("C14",_xlfn.FORMULATEXT(F14))),ISNUMBER(SEARCH("D14",_xlfn.FORMULATEXT(F14))))))),"✗",IF(ROUND(F14,2)=ROUND(Klíč!A210,2),"✓","✗"))))</f>
        <v>✓</v>
      </c>
      <c r="J14" s="16" t="str">
        <f ca="1">IF(G14="","",IF(NOT(_xlfn.ISFORMULA(G14)),"✗",IF(NOT(AND(ISNUMBER(SEARCH("E14",_xlfn.FORMULATEXT(G14))),ISNUMBER(SEARCH("F14",_xlfn.FORMULATEXT(G14))))),"✗",IF(ROUND(G14,2)=ROUND(Klíč!A211,2),"✓","✗"))))</f>
        <v>✓</v>
      </c>
    </row>
    <row r="15" spans="2:28" ht="18" customHeight="1" x14ac:dyDescent="0.35">
      <c r="B15" s="8" t="s">
        <v>116</v>
      </c>
      <c r="C15" s="9">
        <v>165</v>
      </c>
      <c r="D15" s="10">
        <v>290</v>
      </c>
      <c r="E15" s="24">
        <f t="shared" si="0"/>
        <v>47850</v>
      </c>
      <c r="F15" s="24">
        <f t="shared" si="1"/>
        <v>7177.5</v>
      </c>
      <c r="G15" s="24">
        <f t="shared" si="2"/>
        <v>40672.5</v>
      </c>
      <c r="H15" s="16" t="str">
        <f ca="1">IF(E15="","",IF(NOT(_xlfn.ISFORMULA(E15)),"✗",IF(NOT(AND(ISNUMBER(SEARCH("C15",_xlfn.FORMULATEXT(E15))),ISNUMBER(SEARCH("D15",_xlfn.FORMULATEXT(E15))))),"✗",IF(ROUND(E15,2)=ROUND(Klíč!A212,2),"✓","✗"))))</f>
        <v>✓</v>
      </c>
      <c r="I15" s="16" t="str">
        <f ca="1">IF(F15="","",IF(NOT(_xlfn.ISFORMULA(F15)),"✗",IF(NOT(AND(ISNUMBER(SEARCH("$C$8",_xlfn.FORMULATEXT(F15))),OR(ISNUMBER(SEARCH("E15",_xlfn.FORMULATEXT(F15))),AND(ISNUMBER(SEARCH("C15",_xlfn.FORMULATEXT(F15))),ISNUMBER(SEARCH("D15",_xlfn.FORMULATEXT(F15))))))),"✗",IF(ROUND(F15,2)=ROUND(Klíč!A213,2),"✓","✗"))))</f>
        <v>✓</v>
      </c>
      <c r="J15" s="16" t="str">
        <f ca="1">IF(G15="","",IF(NOT(_xlfn.ISFORMULA(G15)),"✗",IF(NOT(AND(ISNUMBER(SEARCH("E15",_xlfn.FORMULATEXT(G15))),ISNUMBER(SEARCH("F15",_xlfn.FORMULATEXT(G15))))),"✗",IF(ROUND(G15,2)=ROUND(Klíč!A214,2),"✓","✗"))))</f>
        <v>✓</v>
      </c>
    </row>
    <row r="16" spans="2:28" ht="18" customHeight="1" x14ac:dyDescent="0.35">
      <c r="B16" s="8" t="s">
        <v>117</v>
      </c>
      <c r="C16" s="9">
        <v>172</v>
      </c>
      <c r="D16" s="10">
        <v>310</v>
      </c>
      <c r="E16" s="24">
        <f t="shared" si="0"/>
        <v>53320</v>
      </c>
      <c r="F16" s="24">
        <f t="shared" si="1"/>
        <v>7998</v>
      </c>
      <c r="G16" s="24">
        <f t="shared" si="2"/>
        <v>45322</v>
      </c>
      <c r="H16" s="16" t="str">
        <f ca="1">IF(E16="","",IF(NOT(_xlfn.ISFORMULA(E16)),"✗",IF(NOT(AND(ISNUMBER(SEARCH("C16",_xlfn.FORMULATEXT(E16))),ISNUMBER(SEARCH("D16",_xlfn.FORMULATEXT(E16))))),"✗",IF(ROUND(E16,2)=ROUND(Klíč!A215,2),"✓","✗"))))</f>
        <v>✓</v>
      </c>
      <c r="I16" s="16" t="str">
        <f ca="1">IF(F16="","",IF(NOT(_xlfn.ISFORMULA(F16)),"✗",IF(NOT(AND(ISNUMBER(SEARCH("$C$8",_xlfn.FORMULATEXT(F16))),OR(ISNUMBER(SEARCH("E16",_xlfn.FORMULATEXT(F16))),AND(ISNUMBER(SEARCH("C16",_xlfn.FORMULATEXT(F16))),ISNUMBER(SEARCH("D16",_xlfn.FORMULATEXT(F16))))))),"✗",IF(ROUND(F16,2)=ROUND(Klíč!A216,2),"✓","✗"))))</f>
        <v>✓</v>
      </c>
      <c r="J16" s="16" t="str">
        <f ca="1">IF(G16="","",IF(NOT(_xlfn.ISFORMULA(G16)),"✗",IF(NOT(AND(ISNUMBER(SEARCH("E16",_xlfn.FORMULATEXT(G16))),ISNUMBER(SEARCH("F16",_xlfn.FORMULATEXT(G16))))),"✗",IF(ROUND(G16,2)=ROUND(Klíč!A217,2),"✓","✗"))))</f>
        <v>✓</v>
      </c>
    </row>
    <row r="17" spans="2:10" ht="18" customHeight="1" x14ac:dyDescent="0.35">
      <c r="B17" s="8" t="s">
        <v>118</v>
      </c>
      <c r="C17" s="9">
        <v>168</v>
      </c>
      <c r="D17" s="10">
        <v>380</v>
      </c>
      <c r="E17" s="24">
        <f t="shared" si="0"/>
        <v>63840</v>
      </c>
      <c r="F17" s="24">
        <f t="shared" si="1"/>
        <v>9576</v>
      </c>
      <c r="G17" s="24">
        <f t="shared" si="2"/>
        <v>54264</v>
      </c>
      <c r="H17" s="16" t="str">
        <f ca="1">IF(E17="","",IF(NOT(_xlfn.ISFORMULA(E17)),"✗",IF(NOT(AND(ISNUMBER(SEARCH("C17",_xlfn.FORMULATEXT(E17))),ISNUMBER(SEARCH("D17",_xlfn.FORMULATEXT(E17))))),"✗",IF(ROUND(E17,2)=ROUND(Klíč!A218,2),"✓","✗"))))</f>
        <v>✓</v>
      </c>
      <c r="I17" s="16" t="str">
        <f ca="1">IF(F17="","",IF(NOT(_xlfn.ISFORMULA(F17)),"✗",IF(NOT(AND(ISNUMBER(SEARCH("$C$8",_xlfn.FORMULATEXT(F17))),OR(ISNUMBER(SEARCH("E17",_xlfn.FORMULATEXT(F17))),AND(ISNUMBER(SEARCH("C17",_xlfn.FORMULATEXT(F17))),ISNUMBER(SEARCH("D17",_xlfn.FORMULATEXT(F17))))))),"✗",IF(ROUND(F17,2)=ROUND(Klíč!A219,2),"✓","✗"))))</f>
        <v>✓</v>
      </c>
      <c r="J17" s="16" t="str">
        <f ca="1">IF(G17="","",IF(NOT(_xlfn.ISFORMULA(G17)),"✗",IF(NOT(AND(ISNUMBER(SEARCH("E17",_xlfn.FORMULATEXT(G17))),ISNUMBER(SEARCH("F17",_xlfn.FORMULATEXT(G17))))),"✗",IF(ROUND(G17,2)=ROUND(Klíč!A220,2),"✓","✗"))))</f>
        <v>✓</v>
      </c>
    </row>
    <row r="18" spans="2:10" ht="18" customHeight="1" x14ac:dyDescent="0.35">
      <c r="B18" s="8" t="s">
        <v>119</v>
      </c>
      <c r="C18" s="9">
        <v>155</v>
      </c>
      <c r="D18" s="10">
        <v>240</v>
      </c>
      <c r="E18" s="24">
        <f t="shared" si="0"/>
        <v>37200</v>
      </c>
      <c r="F18" s="24">
        <f t="shared" si="1"/>
        <v>5580</v>
      </c>
      <c r="G18" s="24">
        <f t="shared" si="2"/>
        <v>31620</v>
      </c>
      <c r="H18" s="16" t="str">
        <f ca="1">IF(E18="","",IF(NOT(_xlfn.ISFORMULA(E18)),"✗",IF(NOT(AND(ISNUMBER(SEARCH("C18",_xlfn.FORMULATEXT(E18))),ISNUMBER(SEARCH("D18",_xlfn.FORMULATEXT(E18))))),"✗",IF(ROUND(E18,2)=ROUND(Klíč!A221,2),"✓","✗"))))</f>
        <v>✓</v>
      </c>
      <c r="I18" s="16" t="str">
        <f ca="1">IF(F18="","",IF(NOT(_xlfn.ISFORMULA(F18)),"✗",IF(NOT(AND(ISNUMBER(SEARCH("$C$8",_xlfn.FORMULATEXT(F18))),OR(ISNUMBER(SEARCH("E18",_xlfn.FORMULATEXT(F18))),AND(ISNUMBER(SEARCH("C18",_xlfn.FORMULATEXT(F18))),ISNUMBER(SEARCH("D18",_xlfn.FORMULATEXT(F18))))))),"✗",IF(ROUND(F18,2)=ROUND(Klíč!A222,2),"✓","✗"))))</f>
        <v>✓</v>
      </c>
      <c r="J18" s="16" t="str">
        <f ca="1">IF(G18="","",IF(NOT(_xlfn.ISFORMULA(G18)),"✗",IF(NOT(AND(ISNUMBER(SEARCH("E18",_xlfn.FORMULATEXT(G18))),ISNUMBER(SEARCH("F18",_xlfn.FORMULATEXT(G18))))),"✗",IF(ROUND(G18,2)=ROUND(Klíč!A223,2),"✓","✗"))))</f>
        <v>✓</v>
      </c>
    </row>
    <row r="20" spans="2:10" ht="15" customHeight="1" x14ac:dyDescent="0.35">
      <c r="B20" s="42" t="s">
        <v>120</v>
      </c>
      <c r="C20" s="26"/>
      <c r="D20" s="26"/>
      <c r="E20" s="26"/>
      <c r="F20" s="26"/>
      <c r="G20" s="26"/>
      <c r="H20" s="26"/>
      <c r="I20" s="26"/>
      <c r="J20" s="26"/>
    </row>
    <row r="21" spans="2:10" x14ac:dyDescent="0.35">
      <c r="B21" s="51" t="s">
        <v>122</v>
      </c>
      <c r="C21" s="52"/>
      <c r="D21" s="52"/>
      <c r="E21" s="52"/>
      <c r="F21" s="52"/>
      <c r="G21" s="52"/>
      <c r="H21" s="52"/>
      <c r="I21" s="52"/>
      <c r="J21" s="52"/>
    </row>
    <row r="22" spans="2:10" x14ac:dyDescent="0.35">
      <c r="B22" s="5" t="s">
        <v>121</v>
      </c>
    </row>
    <row r="23" spans="2:10" ht="21.75" customHeight="1" x14ac:dyDescent="0.35">
      <c r="B23" s="43"/>
      <c r="C23" s="44"/>
      <c r="D23" s="44"/>
      <c r="E23" s="44"/>
      <c r="F23" s="44"/>
      <c r="G23" s="44"/>
      <c r="H23" s="44"/>
      <c r="I23" s="44"/>
      <c r="J23" s="45"/>
    </row>
    <row r="24" spans="2:10" ht="21.75" customHeight="1" x14ac:dyDescent="0.35">
      <c r="B24" s="46"/>
      <c r="C24" s="47"/>
      <c r="D24" s="47"/>
      <c r="E24" s="47"/>
      <c r="F24" s="47"/>
      <c r="G24" s="47"/>
      <c r="H24" s="47"/>
      <c r="I24" s="47"/>
      <c r="J24" s="48"/>
    </row>
    <row r="26" spans="2:10" ht="18" customHeight="1" x14ac:dyDescent="0.45">
      <c r="B26" s="29" t="s">
        <v>21</v>
      </c>
      <c r="C26" s="26"/>
      <c r="D26" s="26"/>
      <c r="E26" s="30" t="str">
        <f ca="1">AB1 &amp; " / " &amp; AB2 &amp; "  bodů"</f>
        <v>24 / 24  bodů</v>
      </c>
      <c r="F26" s="31"/>
      <c r="G26" s="31"/>
      <c r="H26" s="31"/>
      <c r="I26" s="31"/>
      <c r="J26" s="32"/>
    </row>
  </sheetData>
  <mergeCells count="8">
    <mergeCell ref="B2:H2"/>
    <mergeCell ref="E26:J26"/>
    <mergeCell ref="B5:H5"/>
    <mergeCell ref="B20:J20"/>
    <mergeCell ref="B4:H4"/>
    <mergeCell ref="B23:J24"/>
    <mergeCell ref="B26:D26"/>
    <mergeCell ref="B6:H6"/>
  </mergeCells>
  <conditionalFormatting sqref="H11:J18">
    <cfRule type="cellIs" dxfId="1" priority="2" operator="equal">
      <formula>"✓"</formula>
    </cfRule>
    <cfRule type="cellIs" dxfId="0" priority="3" operator="equal">
      <formula>"✗"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8</vt:i4>
      </vt:variant>
      <vt:variant>
        <vt:lpstr>Pojmenované oblasti</vt:lpstr>
      </vt:variant>
      <vt:variant>
        <vt:i4>7</vt:i4>
      </vt:variant>
    </vt:vector>
  </HeadingPairs>
  <TitlesOfParts>
    <vt:vector size="15" baseType="lpstr">
      <vt:lpstr>Pokyny</vt:lpstr>
      <vt:lpstr>Klíč</vt:lpstr>
      <vt:lpstr>Úkol 1</vt:lpstr>
      <vt:lpstr>Úkol 2</vt:lpstr>
      <vt:lpstr>Úkol 3</vt:lpstr>
      <vt:lpstr>Úkol 4</vt:lpstr>
      <vt:lpstr>Úkol 5</vt:lpstr>
      <vt:lpstr>Úkol 6</vt:lpstr>
      <vt:lpstr>Pokyny!Oblast_tisku</vt:lpstr>
      <vt:lpstr>'Úkol 1'!Oblast_tisku</vt:lpstr>
      <vt:lpstr>'Úkol 2'!Oblast_tisku</vt:lpstr>
      <vt:lpstr>'Úkol 3'!Oblast_tisku</vt:lpstr>
      <vt:lpstr>'Úkol 4'!Oblast_tisku</vt:lpstr>
      <vt:lpstr>'Úkol 5'!Oblast_tisku</vt:lpstr>
      <vt:lpstr>'Úkol 6'!Oblast_tisku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Šenkeřík Filip, Ing.</cp:lastModifiedBy>
  <cp:revision>0</cp:revision>
  <dcterms:created xsi:type="dcterms:W3CDTF">2026-04-29T06:10:53Z</dcterms:created>
  <dcterms:modified xsi:type="dcterms:W3CDTF">2026-05-21T08:06:36Z</dcterms:modified>
  <dc:language>en-US</dc:language>
</cp:coreProperties>
</file>