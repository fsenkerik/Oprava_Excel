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ilip.senkerik\Desktop\"/>
    </mc:Choice>
  </mc:AlternateContent>
  <xr:revisionPtr revIDLastSave="0" documentId="13_ncr:1_{2E23E2E2-00FC-4780-91AA-F8F39C6DFDF7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Pokyny" sheetId="1" r:id="rId1"/>
    <sheet name="Klíč" sheetId="2" r:id="rId2"/>
    <sheet name="Úkol 1" sheetId="3" r:id="rId3"/>
    <sheet name="Úkol 2" sheetId="4" r:id="rId4"/>
    <sheet name="Úkol 3" sheetId="5" r:id="rId5"/>
    <sheet name="Úkol 4" sheetId="6" r:id="rId6"/>
    <sheet name="Úkol 5" sheetId="7" r:id="rId7"/>
    <sheet name="Úkol 6" sheetId="8" r:id="rId8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8" l="1"/>
  <c r="J9" i="8"/>
  <c r="J15" i="8"/>
  <c r="J13" i="8"/>
  <c r="H24" i="7"/>
  <c r="H23" i="7"/>
  <c r="H22" i="7"/>
  <c r="H21" i="7"/>
  <c r="H20" i="7"/>
  <c r="H19" i="7"/>
  <c r="E18" i="6"/>
  <c r="E17" i="6"/>
  <c r="E16" i="6"/>
  <c r="E15" i="6"/>
  <c r="C14" i="6"/>
  <c r="E14" i="6" s="1"/>
  <c r="E13" i="6"/>
  <c r="E12" i="6"/>
  <c r="E11" i="6"/>
  <c r="E10" i="6"/>
  <c r="E9" i="6"/>
  <c r="J13" i="5"/>
  <c r="J12" i="5"/>
  <c r="J11" i="5"/>
  <c r="J10" i="5"/>
  <c r="J9" i="5"/>
  <c r="J8" i="5"/>
  <c r="I27" i="4"/>
  <c r="I26" i="4"/>
  <c r="I25" i="4"/>
  <c r="I24" i="4"/>
  <c r="I23" i="4"/>
  <c r="I22" i="4"/>
  <c r="I21" i="4"/>
  <c r="I20" i="4"/>
  <c r="H26" i="3"/>
  <c r="H25" i="3"/>
  <c r="H24" i="3"/>
  <c r="H23" i="3"/>
  <c r="H22" i="3"/>
  <c r="H21" i="3"/>
  <c r="H20" i="3"/>
  <c r="H19" i="3"/>
  <c r="H18" i="3"/>
  <c r="H17" i="3"/>
  <c r="J16" i="8"/>
  <c r="J14" i="8"/>
  <c r="J12" i="8"/>
  <c r="J11" i="8"/>
  <c r="J10" i="8"/>
  <c r="J8" i="8"/>
  <c r="J21" i="4"/>
  <c r="K8" i="8"/>
  <c r="F12" i="6"/>
  <c r="J27" i="4"/>
  <c r="I19" i="3"/>
  <c r="F11" i="6"/>
  <c r="K9" i="8"/>
  <c r="J20" i="4"/>
  <c r="I21" i="3"/>
  <c r="F17" i="6"/>
  <c r="I18" i="3"/>
  <c r="I26" i="3"/>
  <c r="K15" i="8"/>
  <c r="J26" i="4"/>
  <c r="J24" i="4"/>
  <c r="I22" i="7"/>
  <c r="K12" i="5"/>
  <c r="I23" i="7"/>
  <c r="I23" i="3"/>
  <c r="I21" i="7"/>
  <c r="I22" i="3"/>
  <c r="I20" i="7"/>
  <c r="K10" i="5"/>
  <c r="K17" i="8"/>
  <c r="I19" i="7"/>
  <c r="I25" i="3"/>
  <c r="K9" i="5"/>
  <c r="I20" i="3"/>
  <c r="K11" i="5"/>
  <c r="F16" i="6"/>
  <c r="K10" i="8"/>
  <c r="K8" i="5"/>
  <c r="K13" i="8"/>
  <c r="I24" i="7"/>
  <c r="F15" i="6"/>
  <c r="K12" i="8"/>
  <c r="F10" i="6"/>
  <c r="K13" i="5"/>
  <c r="I17" i="3"/>
  <c r="K16" i="8"/>
  <c r="J23" i="4"/>
  <c r="J22" i="4"/>
  <c r="F9" i="6"/>
  <c r="I24" i="3"/>
  <c r="F18" i="6"/>
  <c r="J25" i="4"/>
  <c r="K14" i="8"/>
  <c r="F14" i="6"/>
  <c r="F13" i="6"/>
  <c r="K11" i="8"/>
  <c r="AB1" i="7" l="1"/>
  <c r="F26" i="7" s="1"/>
  <c r="AB1" i="4"/>
  <c r="E29" i="4" s="1"/>
  <c r="AB1" i="5"/>
  <c r="E19" i="5" s="1"/>
  <c r="AB1" i="8"/>
  <c r="E22" i="8" s="1"/>
  <c r="AB1" i="3"/>
  <c r="AB1" i="6"/>
  <c r="E20" i="6" s="1"/>
  <c r="F28" i="3" l="1"/>
  <c r="E27" i="1"/>
</calcChain>
</file>

<file path=xl/sharedStrings.xml><?xml version="1.0" encoding="utf-8"?>
<sst xmlns="http://schemas.openxmlformats.org/spreadsheetml/2006/main" count="238" uniqueCount="209">
  <si>
    <t>Úkol 6 – Komplexní úloha: Tržby školního bufetu</t>
  </si>
  <si>
    <t>📝  ZADÁNÍ:</t>
  </si>
  <si>
    <t>Školní bufet eviduje tržby za celý školní rok (10 měsíců) ve 5 kategoriích.</t>
  </si>
  <si>
    <t>Kombinuj SUMA, PRŮMĚR, MIN, MAX a ZAOKROUHLIT.</t>
  </si>
  <si>
    <t>Měsíc</t>
  </si>
  <si>
    <t>Obědy</t>
  </si>
  <si>
    <t>Svačiny</t>
  </si>
  <si>
    <t>Nápoje</t>
  </si>
  <si>
    <t>Sladkosti</t>
  </si>
  <si>
    <t>Studené jídlo</t>
  </si>
  <si>
    <t>Co spočítat?</t>
  </si>
  <si>
    <t>Tvůj výsledek</t>
  </si>
  <si>
    <t>✓/✗</t>
  </si>
  <si>
    <t>Září</t>
  </si>
  <si>
    <t>Celkové tržby bufetu za celý školní rok (vše dohromady)</t>
  </si>
  <si>
    <t>Říjen</t>
  </si>
  <si>
    <t>Průměrné měsíční tržby zaokrouhlené na celé Kč</t>
  </si>
  <si>
    <t>Listopad</t>
  </si>
  <si>
    <t>Tržby v nejlepším (nejvýdělečnějším) měsíci</t>
  </si>
  <si>
    <t>Prosinec</t>
  </si>
  <si>
    <t>Tržby v nejhorším (nejslabším) měsíci</t>
  </si>
  <si>
    <t>Leden</t>
  </si>
  <si>
    <t>Celkové tržby za obědy za celý rok</t>
  </si>
  <si>
    <t>Únor</t>
  </si>
  <si>
    <t>Průměrné tržby za nápoje zaokrouhlené na stovky Kč</t>
  </si>
  <si>
    <t>Březen</t>
  </si>
  <si>
    <t>Rozdíl mezi nejlepším a nejhorším měsícem</t>
  </si>
  <si>
    <t>Duben</t>
  </si>
  <si>
    <t>Průměrné tržby za sladkosti zaokrouhlené na desítky Kč</t>
  </si>
  <si>
    <t>Květen</t>
  </si>
  <si>
    <t>Celkové tržby za svačiny a sladkosti dohromady</t>
  </si>
  <si>
    <t>Červen</t>
  </si>
  <si>
    <t>Jaké % tvoří obědy z celkových tržeb? (zaokr. na 1 des. místo)</t>
  </si>
  <si>
    <t>🤔  Otázka k zamyšlení: Ve kterém měsíci byly tržby nejvyšší a proč? Napiš odpověď níže:</t>
  </si>
  <si>
    <t>Skóre tohoto úkolu:</t>
  </si>
  <si>
    <t>Matematické a statistické funkce – Cvičení</t>
  </si>
  <si>
    <t>3. hodina · Procvičovací sešit</t>
  </si>
  <si>
    <t>Jméno:</t>
  </si>
  <si>
    <t>Třída:</t>
  </si>
  <si>
    <t>Pokyny:</t>
  </si>
  <si>
    <t>1.</t>
  </si>
  <si>
    <t>Postupuj listy v pořadí – od Úkolu 1 po Úkol 6.</t>
  </si>
  <si>
    <t>2.</t>
  </si>
  <si>
    <t>Žluté buňky jsou na vyplnění. Vždy použij FUNKCI nebo VZOREC (ne ruční výpočet).</t>
  </si>
  <si>
    <t>3.</t>
  </si>
  <si>
    <t>Vzorec začíná =, pak název funkce a závorky: =SUMA(B2:B10)</t>
  </si>
  <si>
    <t>4.</t>
  </si>
  <si>
    <t>U funkcí se 2 argumenty odděl středníkem: =ZAOKROUHLIT(A1;2)</t>
  </si>
  <si>
    <t>5.</t>
  </si>
  <si>
    <t>Vedle žluté buňky se zobrazí ✓ (správně) nebo ✗ (špatně).</t>
  </si>
  <si>
    <t>6.</t>
  </si>
  <si>
    <t>Klávesou F2 zobrazíš obsah vzorce v buňce.</t>
  </si>
  <si>
    <t>Přehled úkolů:</t>
  </si>
  <si>
    <t>Úkol 1</t>
  </si>
  <si>
    <t>SUMA</t>
  </si>
  <si>
    <t>Hokejová liga – 3 sezóny, 6 týmů</t>
  </si>
  <si>
    <t>Úkol 2</t>
  </si>
  <si>
    <t>PRŮMĚR, MIN, MAX</t>
  </si>
  <si>
    <t>Výsledky testů třídy – 4 předměty</t>
  </si>
  <si>
    <t>Úkol 3</t>
  </si>
  <si>
    <t>POČET, POČET2, POČET.PRÁZDNÝCH</t>
  </si>
  <si>
    <t>Sklad e-shopu – chybějící data</t>
  </si>
  <si>
    <t>Úkol 4</t>
  </si>
  <si>
    <t>ZAOKROUHLIT</t>
  </si>
  <si>
    <t>Záludná zaokrouhlování</t>
  </si>
  <si>
    <t>Úkol 5</t>
  </si>
  <si>
    <t>Kombinace funkcí</t>
  </si>
  <si>
    <t>Analýza cestovní kanceláře</t>
  </si>
  <si>
    <t>Úkol 6</t>
  </si>
  <si>
    <t>Komplexní úloha</t>
  </si>
  <si>
    <t>Tržby školního bufetu – celý rok</t>
  </si>
  <si>
    <t>Tvoje celkové skóre:</t>
  </si>
  <si>
    <t>Úkol 1 – Funkce SUMA</t>
  </si>
  <si>
    <t>Extraligová hokejová liga sleduje bodové zisky 6 týmů za 3 sezóny.</t>
  </si>
  <si>
    <t>Vyplň žluté buňky pomocí funkce SUMA. Pozor – ne vždy jde o jeden celistvý rozsah!</t>
  </si>
  <si>
    <t>Tým</t>
  </si>
  <si>
    <t>Sezóna 1</t>
  </si>
  <si>
    <t>Sezóna 2</t>
  </si>
  <si>
    <t>Sezóna 3</t>
  </si>
  <si>
    <t>Sparta</t>
  </si>
  <si>
    <t>Slavia</t>
  </si>
  <si>
    <t>Plzeň</t>
  </si>
  <si>
    <t>Brno</t>
  </si>
  <si>
    <t>Liberec</t>
  </si>
  <si>
    <t>Olomouc</t>
  </si>
  <si>
    <t>Otázky:</t>
  </si>
  <si>
    <t>1)</t>
  </si>
  <si>
    <t>Celkový počet bodů Sparty za všechny 3 sezóny</t>
  </si>
  <si>
    <t>2)</t>
  </si>
  <si>
    <t>Celkem bodů celé ligy v 1. sezóně</t>
  </si>
  <si>
    <t>3)</t>
  </si>
  <si>
    <t>Celkem bodů Slavie a Plzně dohromady za 3 sezóny</t>
  </si>
  <si>
    <t>4)</t>
  </si>
  <si>
    <t>Celkový součet všech bodů ligy za všechny sezóny</t>
  </si>
  <si>
    <t>5)</t>
  </si>
  <si>
    <t>Celkem bodů ve 2. a 3. sezóně (všechny týmy)</t>
  </si>
  <si>
    <t>6)</t>
  </si>
  <si>
    <t>Celkový počet bodů Sparty (nejúspěšnějšího týmu)</t>
  </si>
  <si>
    <t>7)</t>
  </si>
  <si>
    <t>Nejnižší bodový zisk v první sezóně</t>
  </si>
  <si>
    <t>8)</t>
  </si>
  <si>
    <t>Celkem bodů Brna a Liberce v 1. sezóně</t>
  </si>
  <si>
    <t>9)</t>
  </si>
  <si>
    <t>O kolik bodů zaostával Olomouc za průměrem ligy v 1. sezóně?</t>
  </si>
  <si>
    <t>10)</t>
  </si>
  <si>
    <t>Průměrný počet bodů na tým za všechny sezóny</t>
  </si>
  <si>
    <t>Úkol 2 – PRŮMĚR, MIN, MAX</t>
  </si>
  <si>
    <t>Třída psala testy ze 4 předmětů. Výsledky jsou v bodech (0–100).</t>
  </si>
  <si>
    <t>Pozorně čti zadání – některé úkoly se týkají jen části tabulky.</t>
  </si>
  <si>
    <t>Žák</t>
  </si>
  <si>
    <t>Matematika</t>
  </si>
  <si>
    <t>Fyzika</t>
  </si>
  <si>
    <t>Čeština</t>
  </si>
  <si>
    <t>Angličtina</t>
  </si>
  <si>
    <t>Adam</t>
  </si>
  <si>
    <t>Bára</t>
  </si>
  <si>
    <t>Cyril</t>
  </si>
  <si>
    <t>Dana</t>
  </si>
  <si>
    <t>Eva</t>
  </si>
  <si>
    <t>Filip</t>
  </si>
  <si>
    <t>Hana</t>
  </si>
  <si>
    <t>Igor</t>
  </si>
  <si>
    <t>Jana</t>
  </si>
  <si>
    <t>Karel</t>
  </si>
  <si>
    <t>Průměrný počet bodů z matematiky (celá třída)</t>
  </si>
  <si>
    <t>Nejvyšší bodový zisk vůbec (ze všech předmětů i žáků)</t>
  </si>
  <si>
    <t>Nejnižší bodový zisk vůbec (ze všech předmětů i žáků)</t>
  </si>
  <si>
    <t>Průměrný počet bodů z fyziky</t>
  </si>
  <si>
    <t>Průměrný výsledek Adama přes všechny 4 předměty</t>
  </si>
  <si>
    <t>Rozdíl mezi nejlepším a nejhorším výsledkem z matematiky</t>
  </si>
  <si>
    <t>Průměr z češtiny a angličtiny dohromady (20 hodnot)</t>
  </si>
  <si>
    <t>Kolik bodů získala třída celkem z fyziky?</t>
  </si>
  <si>
    <t>Úkol 3 – POČET, POČET2, POČET.PRÁZDNÝCH</t>
  </si>
  <si>
    <t>Sklad e-shopu má 10 položek. Některé buňky jsou prázdné – produkt chybí nebo data nejsou k dispozici.</t>
  </si>
  <si>
    <t>💡  POČET počítá jen čísla.   POČET2 počítá vše co není prázdné (i text).   COUNTBLANK počítá prázdné buňky.</t>
  </si>
  <si>
    <t>Kód</t>
  </si>
  <si>
    <t>Název</t>
  </si>
  <si>
    <t>Cena (Kč)</t>
  </si>
  <si>
    <t>Sklad (ks)</t>
  </si>
  <si>
    <t>Hodnocení</t>
  </si>
  <si>
    <t>Hmotnost (kg)</t>
  </si>
  <si>
    <t>Otázka – co přesně spočítat a jakou funkcí?</t>
  </si>
  <si>
    <t>E001</t>
  </si>
  <si>
    <t>USB kabel</t>
  </si>
  <si>
    <t>Kolik produktů má vyplněnou CENU?  →  použij POČET</t>
  </si>
  <si>
    <t>E002</t>
  </si>
  <si>
    <t>Notebook</t>
  </si>
  <si>
    <t>Kolik řádků tabulka celkem má?  →  použij POČET2 na sloupec Kód</t>
  </si>
  <si>
    <t>E003</t>
  </si>
  <si>
    <t>Kolik produktů NEMÁ hodnocení?  →  použij POČET.PRÁZDNÝCH</t>
  </si>
  <si>
    <t>E004</t>
  </si>
  <si>
    <t>Myš</t>
  </si>
  <si>
    <t>Kolik produktů má evidovaný stav skladu? (i 0 se počítá!)  →  POČET</t>
  </si>
  <si>
    <t>E005</t>
  </si>
  <si>
    <t>Reproduktor</t>
  </si>
  <si>
    <t>Kolik políček s hmotností je prázdných?  →  POČET.PRÁZDNÝCH</t>
  </si>
  <si>
    <t>E006</t>
  </si>
  <si>
    <t>Monitor</t>
  </si>
  <si>
    <t>Kolik produktů má vyplněný název?  →  POČET2</t>
  </si>
  <si>
    <t>E007</t>
  </si>
  <si>
    <t>E008</t>
  </si>
  <si>
    <t>Klávesnice</t>
  </si>
  <si>
    <t>E009</t>
  </si>
  <si>
    <t>Webkamera</t>
  </si>
  <si>
    <t>E010</t>
  </si>
  <si>
    <t>Úkol 4 – ZAOKROUHLIT</t>
  </si>
  <si>
    <t>Zaokrouhli zadaná čísla přesně podle pokynů. Syntax: =ZAOKROUHLIT(číslo; počet_des_míst)</t>
  </si>
  <si>
    <t>💡  Záporný argument zaokrouhluje na desítky (–1), stovky (–2), tisíce (–3) atd.</t>
  </si>
  <si>
    <t>Č.</t>
  </si>
  <si>
    <t>Číslo</t>
  </si>
  <si>
    <t>Pokyn</t>
  </si>
  <si>
    <t>a)</t>
  </si>
  <si>
    <t>na 1 desetinné místo</t>
  </si>
  <si>
    <t>b)</t>
  </si>
  <si>
    <t>c)</t>
  </si>
  <si>
    <t>na 2 desetinná místa</t>
  </si>
  <si>
    <t>d)</t>
  </si>
  <si>
    <t>na stovky</t>
  </si>
  <si>
    <t>e)</t>
  </si>
  <si>
    <t>f)</t>
  </si>
  <si>
    <t>na 1 des. místo   Všimni si že je to ze vzorce</t>
  </si>
  <si>
    <t>g)</t>
  </si>
  <si>
    <t>na 3 desetinná místa</t>
  </si>
  <si>
    <t>h)</t>
  </si>
  <si>
    <t>na celé číslo</t>
  </si>
  <si>
    <t>i)</t>
  </si>
  <si>
    <t>j)</t>
  </si>
  <si>
    <t>na tisíce</t>
  </si>
  <si>
    <t>Úkol 5 – Kombinace funkcí</t>
  </si>
  <si>
    <t>Cestovní kancelář nabízí 8 destinací. Použij kombinace funkcí – funkci uvnitř funkce.</t>
  </si>
  <si>
    <t>Příklad: =ZAOKROUHLIT(PRŮMĚR(C8:C15);0)</t>
  </si>
  <si>
    <t>Destinace</t>
  </si>
  <si>
    <t>Počet nocí</t>
  </si>
  <si>
    <t>Řecko</t>
  </si>
  <si>
    <t>Španělsko</t>
  </si>
  <si>
    <t>Itálie</t>
  </si>
  <si>
    <t>Chorvatsko</t>
  </si>
  <si>
    <t>Egypt</t>
  </si>
  <si>
    <t>Turecko</t>
  </si>
  <si>
    <t>Tunisko</t>
  </si>
  <si>
    <t>Kypr</t>
  </si>
  <si>
    <t>Vypočítej:</t>
  </si>
  <si>
    <t>Co spočítat? (kombinuj funkce)</t>
  </si>
  <si>
    <t>Průměrná cena zájezdu zaokrouhlená na celé stovky Kč</t>
  </si>
  <si>
    <t>Rozdíl ceny nejdražšího a nejlevnějšího zájezdu</t>
  </si>
  <si>
    <t>Průměrný počet nocí zaokrouhlený na celé číslo</t>
  </si>
  <si>
    <t>O kolik bodů je nejlepší hodnocení nad průměrem? (zaokr. na 2 des. místa)</t>
  </si>
  <si>
    <t>Cena nejlevnějšího zájezdu × průměrné hodnocení (zaokr. na celé Kč)</t>
  </si>
  <si>
    <t>Průměr z ceny nejdražšího a nejlevnějšího zájezdu (zaokr. na celé Kč)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</si>
</sst>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charset val="1"/>
    </font>
    <font>
      <b/>
      <sz val="20"/>
      <color rgb="FF006666"/>
      <name val="Calibri"/>
      <charset val="1"/>
    </font>
    <font>
      <sz val="11"/>
      <color rgb="FF5A6B7A"/>
      <name val="Calibri"/>
      <charset val="1"/>
    </font>
    <font>
      <b/>
      <sz val="12"/>
      <name val="Calibri"/>
      <charset val="1"/>
    </font>
    <font>
      <b/>
      <sz val="14"/>
      <color rgb="FF006666"/>
      <name val="Calibri"/>
      <charset val="1"/>
    </font>
    <font>
      <b/>
      <sz val="12"/>
      <color rgb="FF006666"/>
      <name val="Calibri"/>
      <charset val="1"/>
    </font>
    <font>
      <sz val="11"/>
      <name val="Calibri"/>
      <charset val="1"/>
    </font>
    <font>
      <b/>
      <sz val="11"/>
      <color rgb="FF006666"/>
      <name val="Calibri"/>
      <charset val="1"/>
    </font>
    <font>
      <b/>
      <sz val="11"/>
      <name val="Calibri"/>
      <charset val="1"/>
    </font>
    <font>
      <sz val="1"/>
      <color rgb="FFFFFFFF"/>
      <name val="Cambria"/>
      <charset val="1"/>
    </font>
    <font>
      <b/>
      <sz val="18"/>
      <color rgb="FF006666"/>
      <name val="Calibri"/>
      <charset val="1"/>
    </font>
    <font>
      <b/>
      <sz val="11"/>
      <color rgb="FFB33A3A"/>
      <name val="Calibri"/>
      <charset val="1"/>
    </font>
    <font>
      <b/>
      <sz val="12"/>
      <color rgb="FFFFFFFF"/>
      <name val="Calibri"/>
      <charset val="1"/>
    </font>
    <font>
      <b/>
      <sz val="1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E8F8F8"/>
        <bgColor rgb="FFF2F2F2"/>
      </patternFill>
    </fill>
    <fill>
      <patternFill patternType="solid">
        <fgColor rgb="FFFFF8DC"/>
        <bgColor rgb="FFFFFACD"/>
      </patternFill>
    </fill>
    <fill>
      <patternFill patternType="solid">
        <fgColor rgb="FF008B8B"/>
        <bgColor rgb="FF006666"/>
      </patternFill>
    </fill>
    <fill>
      <patternFill patternType="solid">
        <fgColor rgb="FFF2F2F2"/>
        <bgColor rgb="FFE8F8F8"/>
      </patternFill>
    </fill>
    <fill>
      <patternFill patternType="solid">
        <fgColor rgb="FFFFFACD"/>
        <b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164" fontId="0" fillId="6" borderId="0" xfId="0" applyNumberForma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10" fillId="0" borderId="0" xfId="0" applyFont="1"/>
    <xf numFmtId="0" fontId="4" fillId="2" borderId="0" xfId="0" applyFont="1" applyFill="1"/>
    <xf numFmtId="0" fontId="7" fillId="0" borderId="0" xfId="0" applyFont="1" applyAlignment="1">
      <alignment horizontal="left" vertical="center" wrapText="1"/>
    </xf>
    <xf numFmtId="0" fontId="0" fillId="6" borderId="0" xfId="0" applyFill="1"/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ální" xfId="0" builtinId="0"/>
  </cellStyles>
  <dxfs count="12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B8B"/>
      <rgbColor rgb="FFC0C0C0"/>
      <rgbColor rgb="FF808080"/>
      <rgbColor rgb="FF9999FF"/>
      <rgbColor rgb="FFB33A3A"/>
      <rgbColor rgb="FFFFFACD"/>
      <rgbColor rgb="FFE8F8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F2F2F2"/>
      <rgbColor rgb="FFC6EFCE"/>
      <rgbColor rgb="FFFFF8D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6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"/>
  <sheetViews>
    <sheetView tabSelected="1" zoomScaleNormal="100" workbookViewId="0"/>
  </sheetViews>
  <sheetFormatPr defaultColWidth="8.6328125" defaultRowHeight="14.5" x14ac:dyDescent="0.35"/>
  <cols>
    <col min="1" max="1" width="2" customWidth="1"/>
    <col min="2" max="2" width="10" customWidth="1"/>
    <col min="3" max="3" width="22" customWidth="1"/>
    <col min="4" max="4" width="14" customWidth="1"/>
    <col min="5" max="5" width="12" customWidth="1"/>
    <col min="6" max="8" width="10" customWidth="1"/>
  </cols>
  <sheetData>
    <row r="2" spans="2:8" ht="24" customHeight="1" x14ac:dyDescent="0.35">
      <c r="B2" s="23" t="s">
        <v>35</v>
      </c>
      <c r="C2" s="16"/>
      <c r="D2" s="16"/>
      <c r="E2" s="16"/>
      <c r="F2" s="16"/>
      <c r="G2" s="16"/>
      <c r="H2" s="16"/>
    </row>
    <row r="3" spans="2:8" ht="15" customHeight="1" x14ac:dyDescent="0.35">
      <c r="B3" s="25" t="s">
        <v>36</v>
      </c>
      <c r="C3" s="16"/>
      <c r="D3" s="16"/>
      <c r="E3" s="16"/>
      <c r="F3" s="16"/>
      <c r="G3" s="16"/>
      <c r="H3" s="16"/>
    </row>
    <row r="5" spans="2:8" ht="15" customHeight="1" x14ac:dyDescent="0.35">
      <c r="B5" s="3" t="s">
        <v>37</v>
      </c>
      <c r="C5" s="16"/>
      <c r="D5" s="16"/>
      <c r="E5" s="16"/>
      <c r="F5" s="16"/>
    </row>
    <row r="6" spans="2:8" ht="15" customHeight="1" x14ac:dyDescent="0.35">
      <c r="B6" s="3" t="s">
        <v>38</v>
      </c>
      <c r="C6" s="16"/>
      <c r="D6" s="16"/>
      <c r="E6" s="16"/>
      <c r="F6" s="16"/>
    </row>
    <row r="8" spans="2:8" ht="17.25" customHeight="1" x14ac:dyDescent="0.45">
      <c r="B8" s="1" t="s">
        <v>39</v>
      </c>
    </row>
    <row r="10" spans="2:8" ht="15" customHeight="1" x14ac:dyDescent="0.35">
      <c r="B10" s="4" t="s">
        <v>40</v>
      </c>
      <c r="C10" s="17" t="s">
        <v>41</v>
      </c>
      <c r="D10" s="16"/>
      <c r="E10" s="16"/>
      <c r="F10" s="16"/>
      <c r="G10" s="16"/>
      <c r="H10" s="16"/>
    </row>
    <row r="11" spans="2:8" ht="15" customHeight="1" x14ac:dyDescent="0.35">
      <c r="B11" s="4" t="s">
        <v>42</v>
      </c>
      <c r="C11" s="17" t="s">
        <v>43</v>
      </c>
      <c r="D11" s="16"/>
      <c r="E11" s="16"/>
      <c r="F11" s="16"/>
      <c r="G11" s="16"/>
      <c r="H11" s="16"/>
    </row>
    <row r="12" spans="2:8" ht="15" customHeight="1" x14ac:dyDescent="0.35">
      <c r="B12" s="4" t="s">
        <v>44</v>
      </c>
      <c r="C12" s="17" t="s">
        <v>45</v>
      </c>
      <c r="D12" s="16"/>
      <c r="E12" s="16"/>
      <c r="F12" s="16"/>
      <c r="G12" s="16"/>
      <c r="H12" s="16"/>
    </row>
    <row r="13" spans="2:8" ht="15" customHeight="1" x14ac:dyDescent="0.35">
      <c r="B13" s="4" t="s">
        <v>46</v>
      </c>
      <c r="C13" s="17" t="s">
        <v>47</v>
      </c>
      <c r="D13" s="16"/>
      <c r="E13" s="16"/>
      <c r="F13" s="16"/>
      <c r="G13" s="16"/>
      <c r="H13" s="16"/>
    </row>
    <row r="14" spans="2:8" ht="15" customHeight="1" x14ac:dyDescent="0.35">
      <c r="B14" s="4" t="s">
        <v>48</v>
      </c>
      <c r="C14" s="17" t="s">
        <v>49</v>
      </c>
      <c r="D14" s="16"/>
      <c r="E14" s="16"/>
      <c r="F14" s="16"/>
      <c r="G14" s="16"/>
      <c r="H14" s="16"/>
    </row>
    <row r="15" spans="2:8" ht="15" customHeight="1" x14ac:dyDescent="0.35">
      <c r="B15" s="4" t="s">
        <v>50</v>
      </c>
      <c r="C15" s="17" t="s">
        <v>51</v>
      </c>
      <c r="D15" s="16"/>
      <c r="E15" s="16"/>
      <c r="F15" s="16"/>
      <c r="G15" s="16"/>
      <c r="H15" s="16"/>
    </row>
    <row r="17" spans="2:8" ht="17.25" customHeight="1" x14ac:dyDescent="0.45">
      <c r="B17" s="1" t="s">
        <v>52</v>
      </c>
    </row>
    <row r="19" spans="2:8" ht="15" customHeight="1" x14ac:dyDescent="0.35">
      <c r="B19" s="5" t="s">
        <v>53</v>
      </c>
      <c r="C19" s="6" t="s">
        <v>54</v>
      </c>
      <c r="D19" s="17" t="s">
        <v>55</v>
      </c>
      <c r="E19" s="16"/>
      <c r="F19" s="16"/>
      <c r="G19" s="16"/>
      <c r="H19" s="16"/>
    </row>
    <row r="20" spans="2:8" ht="15" customHeight="1" x14ac:dyDescent="0.35">
      <c r="B20" s="5" t="s">
        <v>56</v>
      </c>
      <c r="C20" s="6" t="s">
        <v>57</v>
      </c>
      <c r="D20" s="17" t="s">
        <v>58</v>
      </c>
      <c r="E20" s="16"/>
      <c r="F20" s="16"/>
      <c r="G20" s="16"/>
      <c r="H20" s="16"/>
    </row>
    <row r="21" spans="2:8" ht="15" customHeight="1" x14ac:dyDescent="0.35">
      <c r="B21" s="5" t="s">
        <v>59</v>
      </c>
      <c r="C21" s="6" t="s">
        <v>60</v>
      </c>
      <c r="D21" s="17" t="s">
        <v>61</v>
      </c>
      <c r="E21" s="16"/>
      <c r="F21" s="16"/>
      <c r="G21" s="16"/>
      <c r="H21" s="16"/>
    </row>
    <row r="22" spans="2:8" ht="15" customHeight="1" x14ac:dyDescent="0.35">
      <c r="B22" s="5" t="s">
        <v>62</v>
      </c>
      <c r="C22" s="6" t="s">
        <v>63</v>
      </c>
      <c r="D22" s="17" t="s">
        <v>64</v>
      </c>
      <c r="E22" s="16"/>
      <c r="F22" s="16"/>
      <c r="G22" s="16"/>
      <c r="H22" s="16"/>
    </row>
    <row r="23" spans="2:8" ht="15" customHeight="1" x14ac:dyDescent="0.35">
      <c r="B23" s="5" t="s">
        <v>65</v>
      </c>
      <c r="C23" s="6" t="s">
        <v>66</v>
      </c>
      <c r="D23" s="17" t="s">
        <v>67</v>
      </c>
      <c r="E23" s="16"/>
      <c r="F23" s="16"/>
      <c r="G23" s="16"/>
      <c r="H23" s="16"/>
    </row>
    <row r="24" spans="2:8" ht="15" customHeight="1" x14ac:dyDescent="0.35">
      <c r="B24" s="5" t="s">
        <v>68</v>
      </c>
      <c r="C24" s="6" t="s">
        <v>69</v>
      </c>
      <c r="D24" s="17" t="s">
        <v>70</v>
      </c>
      <c r="E24" s="16"/>
      <c r="F24" s="16"/>
      <c r="G24" s="16"/>
      <c r="H24" s="16"/>
    </row>
    <row r="27" spans="2:8" ht="17.25" customHeight="1" x14ac:dyDescent="0.45">
      <c r="B27" s="22" t="s">
        <v>71</v>
      </c>
      <c r="C27" s="16"/>
      <c r="D27" s="16"/>
      <c r="E27" s="24" t="str">
        <f ca="1">SUM('Úkol 1'!AB1,'Úkol 2'!AB1,'Úkol 3'!AB1,'Úkol 4'!AB1,'Úkol 5'!AB1,'Úkol 6'!AB1)&amp;" / "&amp;SUM('Úkol 1'!AB2,'Úkol 2'!AB2,'Úkol 3'!AB2,'Úkol 4'!AB2,'Úkol 5'!AB2,'Úkol 6'!AB2)&amp;"  bodů"</f>
        <v>50 / 50  bodů</v>
      </c>
      <c r="F27" s="16"/>
      <c r="G27" s="16"/>
      <c r="H27" s="16"/>
    </row>
  </sheetData>
  <mergeCells count="18">
    <mergeCell ref="D20:H20"/>
    <mergeCell ref="C5:F5"/>
    <mergeCell ref="B27:D27"/>
    <mergeCell ref="B2:H2"/>
    <mergeCell ref="D23:H23"/>
    <mergeCell ref="C12:H12"/>
    <mergeCell ref="D22:H22"/>
    <mergeCell ref="E27:H27"/>
    <mergeCell ref="C15:H15"/>
    <mergeCell ref="B3:H3"/>
    <mergeCell ref="C14:H14"/>
    <mergeCell ref="D24:H24"/>
    <mergeCell ref="C13:H13"/>
    <mergeCell ref="D19:H19"/>
    <mergeCell ref="C6:F6"/>
    <mergeCell ref="C11:H11"/>
    <mergeCell ref="C10:H10"/>
    <mergeCell ref="D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A119"/>
  <sheetViews>
    <sheetView topLeftCell="A82" zoomScaleNormal="100" workbookViewId="0">
      <selection activeCell="A72" sqref="A72"/>
    </sheetView>
  </sheetViews>
  <sheetFormatPr defaultColWidth="8.6328125" defaultRowHeight="14.5" x14ac:dyDescent="0.35"/>
  <sheetData>
    <row r="10" spans="1:1" x14ac:dyDescent="0.35">
      <c r="A10">
        <v>254</v>
      </c>
    </row>
    <row r="11" spans="1:1" x14ac:dyDescent="0.35">
      <c r="A11">
        <v>429</v>
      </c>
    </row>
    <row r="12" spans="1:1" x14ac:dyDescent="0.35">
      <c r="A12">
        <v>479</v>
      </c>
    </row>
    <row r="13" spans="1:1" x14ac:dyDescent="0.35">
      <c r="A13">
        <v>1357</v>
      </c>
    </row>
    <row r="14" spans="1:1" x14ac:dyDescent="0.35">
      <c r="A14">
        <v>928</v>
      </c>
    </row>
    <row r="15" spans="1:1" x14ac:dyDescent="0.35">
      <c r="A15">
        <v>254</v>
      </c>
    </row>
    <row r="16" spans="1:1" x14ac:dyDescent="0.35">
      <c r="A16">
        <v>60</v>
      </c>
    </row>
    <row r="17" spans="1:1" x14ac:dyDescent="0.35">
      <c r="A17">
        <v>133</v>
      </c>
    </row>
    <row r="18" spans="1:1" x14ac:dyDescent="0.35">
      <c r="A18">
        <v>11.5</v>
      </c>
    </row>
    <row r="19" spans="1:1" x14ac:dyDescent="0.35">
      <c r="A19">
        <v>75.388889000000006</v>
      </c>
    </row>
    <row r="30" spans="1:1" x14ac:dyDescent="0.35">
      <c r="A30">
        <v>78.2</v>
      </c>
    </row>
    <row r="31" spans="1:1" x14ac:dyDescent="0.35">
      <c r="A31">
        <v>96</v>
      </c>
    </row>
    <row r="32" spans="1:1" x14ac:dyDescent="0.35">
      <c r="A32">
        <v>55</v>
      </c>
    </row>
    <row r="33" spans="1:1" x14ac:dyDescent="0.35">
      <c r="A33">
        <v>75.900000000000006</v>
      </c>
    </row>
    <row r="34" spans="1:1" x14ac:dyDescent="0.35">
      <c r="A34">
        <v>76</v>
      </c>
    </row>
    <row r="35" spans="1:1" x14ac:dyDescent="0.35">
      <c r="A35">
        <v>41</v>
      </c>
    </row>
    <row r="36" spans="1:1" x14ac:dyDescent="0.35">
      <c r="A36">
        <v>83.45</v>
      </c>
    </row>
    <row r="37" spans="1:1" x14ac:dyDescent="0.35">
      <c r="A37">
        <v>759</v>
      </c>
    </row>
    <row r="50" spans="1:1" x14ac:dyDescent="0.35">
      <c r="A50">
        <v>7</v>
      </c>
    </row>
    <row r="51" spans="1:1" x14ac:dyDescent="0.35">
      <c r="A51">
        <v>10</v>
      </c>
    </row>
    <row r="52" spans="1:1" x14ac:dyDescent="0.35">
      <c r="A52">
        <v>3</v>
      </c>
    </row>
    <row r="53" spans="1:1" x14ac:dyDescent="0.35">
      <c r="A53">
        <v>8</v>
      </c>
    </row>
    <row r="54" spans="1:1" x14ac:dyDescent="0.35">
      <c r="A54">
        <v>2</v>
      </c>
    </row>
    <row r="55" spans="1:1" x14ac:dyDescent="0.35">
      <c r="A55">
        <v>7</v>
      </c>
    </row>
    <row r="70" spans="1:1" x14ac:dyDescent="0.35">
      <c r="A70">
        <v>4.5</v>
      </c>
    </row>
    <row r="71" spans="1:1" x14ac:dyDescent="0.35">
      <c r="A71">
        <v>100</v>
      </c>
    </row>
    <row r="72" spans="1:1" x14ac:dyDescent="0.35">
      <c r="A72">
        <v>0</v>
      </c>
    </row>
    <row r="73" spans="1:1" x14ac:dyDescent="0.35">
      <c r="A73">
        <v>2400</v>
      </c>
    </row>
    <row r="74" spans="1:1" x14ac:dyDescent="0.35">
      <c r="A74">
        <v>50</v>
      </c>
    </row>
    <row r="75" spans="1:1" x14ac:dyDescent="0.35">
      <c r="A75">
        <v>0.3</v>
      </c>
    </row>
    <row r="76" spans="1:1" x14ac:dyDescent="0.35">
      <c r="A76">
        <v>1234.568</v>
      </c>
    </row>
    <row r="77" spans="1:1" x14ac:dyDescent="0.35">
      <c r="A77">
        <v>10000</v>
      </c>
    </row>
    <row r="78" spans="1:1" x14ac:dyDescent="0.35">
      <c r="A78">
        <v>5.0000000000000001E-3</v>
      </c>
    </row>
    <row r="79" spans="1:1" x14ac:dyDescent="0.35">
      <c r="A79">
        <v>877000</v>
      </c>
    </row>
    <row r="90" spans="1:1" x14ac:dyDescent="0.35">
      <c r="A90">
        <v>13700</v>
      </c>
    </row>
    <row r="91" spans="1:1" x14ac:dyDescent="0.35">
      <c r="A91">
        <v>9100</v>
      </c>
    </row>
    <row r="92" spans="1:1" x14ac:dyDescent="0.35">
      <c r="A92">
        <v>10</v>
      </c>
    </row>
    <row r="93" spans="1:1" x14ac:dyDescent="0.35">
      <c r="A93">
        <v>0.36</v>
      </c>
    </row>
    <row r="94" spans="1:1" x14ac:dyDescent="0.35">
      <c r="A94">
        <v>42508</v>
      </c>
    </row>
    <row r="95" spans="1:1" x14ac:dyDescent="0.35">
      <c r="A95">
        <v>14350</v>
      </c>
    </row>
    <row r="110" spans="1:1" x14ac:dyDescent="0.35">
      <c r="A110">
        <v>932100</v>
      </c>
    </row>
    <row r="111" spans="1:1" x14ac:dyDescent="0.35">
      <c r="A111">
        <v>93210</v>
      </c>
    </row>
    <row r="112" spans="1:1" x14ac:dyDescent="0.35">
      <c r="A112">
        <v>112000</v>
      </c>
    </row>
    <row r="113" spans="1:1" x14ac:dyDescent="0.35">
      <c r="A113">
        <v>77100</v>
      </c>
    </row>
    <row r="114" spans="1:1" x14ac:dyDescent="0.35">
      <c r="A114">
        <v>460700</v>
      </c>
    </row>
    <row r="115" spans="1:1" x14ac:dyDescent="0.35">
      <c r="A115">
        <v>12900</v>
      </c>
    </row>
    <row r="116" spans="1:1" x14ac:dyDescent="0.35">
      <c r="A116">
        <v>34900</v>
      </c>
    </row>
    <row r="117" spans="1:1" x14ac:dyDescent="0.35">
      <c r="A117">
        <v>9190</v>
      </c>
    </row>
    <row r="118" spans="1:1" x14ac:dyDescent="0.35">
      <c r="A118">
        <v>279300</v>
      </c>
    </row>
    <row r="119" spans="1:1" x14ac:dyDescent="0.35">
      <c r="A119">
        <v>49.4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28"/>
  <sheetViews>
    <sheetView zoomScaleNormal="100" workbookViewId="0">
      <selection activeCell="H26" sqref="H26"/>
    </sheetView>
  </sheetViews>
  <sheetFormatPr defaultColWidth="8.6328125" defaultRowHeight="14.5" x14ac:dyDescent="0.35"/>
  <cols>
    <col min="1" max="1" width="2" customWidth="1"/>
    <col min="2" max="2" width="15" customWidth="1"/>
    <col min="3" max="3" width="13" customWidth="1"/>
    <col min="4" max="4" width="12" customWidth="1"/>
    <col min="5" max="5" width="13" customWidth="1"/>
    <col min="6" max="6" width="3" customWidth="1"/>
    <col min="7" max="7" width="38" customWidth="1"/>
    <col min="8" max="8" width="14" customWidth="1"/>
    <col min="9" max="9" width="6" customWidth="1"/>
  </cols>
  <sheetData>
    <row r="1" spans="2:28" x14ac:dyDescent="0.35">
      <c r="AB1" s="7">
        <f ca="1">COUNTIF(I17:I26,"✓")</f>
        <v>10</v>
      </c>
    </row>
    <row r="2" spans="2:28" ht="21.75" customHeight="1" x14ac:dyDescent="0.55000000000000004">
      <c r="B2" s="18" t="s">
        <v>72</v>
      </c>
      <c r="C2" s="16"/>
      <c r="D2" s="16"/>
      <c r="E2" s="16"/>
      <c r="F2" s="16"/>
      <c r="G2" s="16"/>
      <c r="H2" s="16"/>
      <c r="AB2" s="7">
        <v>10</v>
      </c>
    </row>
    <row r="4" spans="2:28" ht="15" customHeight="1" x14ac:dyDescent="0.35">
      <c r="B4" s="15" t="s">
        <v>1</v>
      </c>
      <c r="C4" s="16"/>
      <c r="D4" s="16"/>
      <c r="E4" s="16"/>
      <c r="F4" s="16"/>
      <c r="G4" s="16"/>
      <c r="H4" s="16"/>
    </row>
    <row r="5" spans="2:28" ht="15" customHeight="1" x14ac:dyDescent="0.35">
      <c r="B5" s="17" t="s">
        <v>73</v>
      </c>
      <c r="C5" s="16"/>
      <c r="D5" s="16"/>
      <c r="E5" s="16"/>
      <c r="F5" s="16"/>
      <c r="G5" s="16"/>
      <c r="H5" s="16"/>
    </row>
    <row r="6" spans="2:28" ht="15" customHeight="1" x14ac:dyDescent="0.35">
      <c r="B6" s="17" t="s">
        <v>74</v>
      </c>
      <c r="C6" s="16"/>
      <c r="D6" s="16"/>
      <c r="E6" s="16"/>
      <c r="F6" s="16"/>
      <c r="G6" s="16"/>
      <c r="H6" s="16"/>
    </row>
    <row r="8" spans="2:28" ht="15" customHeight="1" x14ac:dyDescent="0.35">
      <c r="B8" s="8" t="s">
        <v>75</v>
      </c>
      <c r="C8" s="8" t="s">
        <v>76</v>
      </c>
      <c r="D8" s="8" t="s">
        <v>77</v>
      </c>
      <c r="E8" s="8" t="s">
        <v>78</v>
      </c>
    </row>
    <row r="9" spans="2:28" ht="15" customHeight="1" x14ac:dyDescent="0.35">
      <c r="B9" s="9" t="s">
        <v>79</v>
      </c>
      <c r="C9" s="9">
        <v>85</v>
      </c>
      <c r="D9" s="9">
        <v>91</v>
      </c>
      <c r="E9" s="9">
        <v>78</v>
      </c>
    </row>
    <row r="10" spans="2:28" ht="15" customHeight="1" x14ac:dyDescent="0.35">
      <c r="B10" s="10" t="s">
        <v>80</v>
      </c>
      <c r="C10" s="10">
        <v>79</v>
      </c>
      <c r="D10" s="10">
        <v>83</v>
      </c>
      <c r="E10" s="10">
        <v>88</v>
      </c>
    </row>
    <row r="11" spans="2:28" ht="15" customHeight="1" x14ac:dyDescent="0.35">
      <c r="B11" s="9" t="s">
        <v>81</v>
      </c>
      <c r="C11" s="9">
        <v>72</v>
      </c>
      <c r="D11" s="9">
        <v>76</v>
      </c>
      <c r="E11" s="9">
        <v>81</v>
      </c>
    </row>
    <row r="12" spans="2:28" ht="15" customHeight="1" x14ac:dyDescent="0.35">
      <c r="B12" s="10" t="s">
        <v>82</v>
      </c>
      <c r="C12" s="10">
        <v>65</v>
      </c>
      <c r="D12" s="10">
        <v>70</v>
      </c>
      <c r="E12" s="10">
        <v>74</v>
      </c>
    </row>
    <row r="13" spans="2:28" ht="15" customHeight="1" x14ac:dyDescent="0.35">
      <c r="B13" s="9" t="s">
        <v>83</v>
      </c>
      <c r="C13" s="9">
        <v>68</v>
      </c>
      <c r="D13" s="9">
        <v>73</v>
      </c>
      <c r="E13" s="9">
        <v>77</v>
      </c>
    </row>
    <row r="14" spans="2:28" ht="15" customHeight="1" x14ac:dyDescent="0.35">
      <c r="B14" s="10" t="s">
        <v>84</v>
      </c>
      <c r="C14" s="10">
        <v>60</v>
      </c>
      <c r="D14" s="10">
        <v>66</v>
      </c>
      <c r="E14" s="10">
        <v>71</v>
      </c>
    </row>
    <row r="16" spans="2:28" ht="15" customHeight="1" x14ac:dyDescent="0.35">
      <c r="B16" s="4" t="s">
        <v>85</v>
      </c>
    </row>
    <row r="17" spans="2:9" ht="17.25" customHeight="1" x14ac:dyDescent="0.35">
      <c r="B17" s="6" t="s">
        <v>86</v>
      </c>
      <c r="C17" s="17" t="s">
        <v>87</v>
      </c>
      <c r="D17" s="16"/>
      <c r="E17" s="16"/>
      <c r="F17" s="16"/>
      <c r="G17" s="16"/>
      <c r="H17" s="11">
        <f>SUM(C9:E9)</f>
        <v>254</v>
      </c>
      <c r="I17" s="12" t="str">
        <f ca="1">IF(H17="","",IF(NOT(_xlfn.ISFORMULA(H17)),"✗",IF(NOT(AND(OR(ISNUMBER(SEARCH("SUM(",_xlfn.FORMULATEXT(H17))),ISNUMBER(SEARCH("SUMA(",_xlfn.FORMULATEXT(H17)))))),"✗",IF(ABS(H17-Klíč!A10)&lt;=0.01,"✓","✗"))))</f>
        <v>✓</v>
      </c>
    </row>
    <row r="18" spans="2:9" ht="17.25" customHeight="1" x14ac:dyDescent="0.35">
      <c r="B18" s="6" t="s">
        <v>88</v>
      </c>
      <c r="C18" s="17" t="s">
        <v>89</v>
      </c>
      <c r="D18" s="16"/>
      <c r="E18" s="16"/>
      <c r="F18" s="16"/>
      <c r="G18" s="16"/>
      <c r="H18" s="11">
        <f>SUM(C9:C14)</f>
        <v>429</v>
      </c>
      <c r="I18" s="12" t="str">
        <f ca="1">IF(H18="","",IF(NOT(_xlfn.ISFORMULA(H18)),"✗",IF(NOT(AND(OR(ISNUMBER(SEARCH("SUM(",_xlfn.FORMULATEXT(H18))),ISNUMBER(SEARCH("SUMA(",_xlfn.FORMULATEXT(H18)))))),"✗",IF(ABS(H18-Klíč!A11)&lt;=0.01,"✓","✗"))))</f>
        <v>✓</v>
      </c>
    </row>
    <row r="19" spans="2:9" ht="17.25" customHeight="1" x14ac:dyDescent="0.35">
      <c r="B19" s="6" t="s">
        <v>90</v>
      </c>
      <c r="C19" s="17" t="s">
        <v>91</v>
      </c>
      <c r="D19" s="16"/>
      <c r="E19" s="16"/>
      <c r="F19" s="16"/>
      <c r="G19" s="16"/>
      <c r="H19" s="11">
        <f>SUM(C10:E11)</f>
        <v>479</v>
      </c>
      <c r="I19" s="12" t="str">
        <f ca="1">IF(H19="","",IF(NOT(_xlfn.ISFORMULA(H19)),"✗",IF(NOT(AND(OR(ISNUMBER(SEARCH("SUM(",_xlfn.FORMULATEXT(H19))),ISNUMBER(SEARCH("SUMA(",_xlfn.FORMULATEXT(H19)))))),"✗",IF(ABS(H19-Klíč!A12)&lt;=0.01,"✓","✗"))))</f>
        <v>✓</v>
      </c>
    </row>
    <row r="20" spans="2:9" ht="17.25" customHeight="1" x14ac:dyDescent="0.35">
      <c r="B20" s="6" t="s">
        <v>92</v>
      </c>
      <c r="C20" s="17" t="s">
        <v>93</v>
      </c>
      <c r="D20" s="16"/>
      <c r="E20" s="16"/>
      <c r="F20" s="16"/>
      <c r="G20" s="16"/>
      <c r="H20" s="11">
        <f>SUM(C9:E14)</f>
        <v>1357</v>
      </c>
      <c r="I20" s="12" t="str">
        <f ca="1">IF(H20="","",IF(NOT(_xlfn.ISFORMULA(H20)),"✗",IF(NOT(AND(OR(ISNUMBER(SEARCH("SUM(",_xlfn.FORMULATEXT(H20))),ISNUMBER(SEARCH("SUMA(",_xlfn.FORMULATEXT(H20)))))),"✗",IF(ABS(H20-Klíč!A13)&lt;=0.01,"✓","✗"))))</f>
        <v>✓</v>
      </c>
    </row>
    <row r="21" spans="2:9" ht="17.25" customHeight="1" x14ac:dyDescent="0.35">
      <c r="B21" s="6" t="s">
        <v>94</v>
      </c>
      <c r="C21" s="17" t="s">
        <v>95</v>
      </c>
      <c r="D21" s="16"/>
      <c r="E21" s="16"/>
      <c r="F21" s="16"/>
      <c r="G21" s="16"/>
      <c r="H21" s="11">
        <f>SUM(D9:E14)</f>
        <v>928</v>
      </c>
      <c r="I21" s="12" t="str">
        <f ca="1">IF(H21="","",IF(NOT(_xlfn.ISFORMULA(H21)),"✗",IF(NOT(AND(OR(ISNUMBER(SEARCH("SUM(",_xlfn.FORMULATEXT(H21))),ISNUMBER(SEARCH("SUMA(",_xlfn.FORMULATEXT(H21)))))),"✗",IF(ABS(H21-Klíč!A14)&lt;=0.01,"✓","✗"))))</f>
        <v>✓</v>
      </c>
    </row>
    <row r="22" spans="2:9" ht="17.25" customHeight="1" x14ac:dyDescent="0.35">
      <c r="B22" s="6" t="s">
        <v>96</v>
      </c>
      <c r="C22" s="17" t="s">
        <v>97</v>
      </c>
      <c r="D22" s="16"/>
      <c r="E22" s="16"/>
      <c r="F22" s="16"/>
      <c r="G22" s="16"/>
      <c r="H22" s="11">
        <f>SUM(C9:E9)</f>
        <v>254</v>
      </c>
      <c r="I22" s="12" t="str">
        <f ca="1">IF(H22="","",IF(NOT(_xlfn.ISFORMULA(H22)),"✗",IF(NOT(AND(OR(ISNUMBER(SEARCH("SUM(",_xlfn.FORMULATEXT(H22))),ISNUMBER(SEARCH("SUMA(",_xlfn.FORMULATEXT(H22)))))),"✗",IF(ABS(H22-Klíč!A15)&lt;=0.01,"✓","✗"))))</f>
        <v>✓</v>
      </c>
    </row>
    <row r="23" spans="2:9" ht="17.25" customHeight="1" x14ac:dyDescent="0.35">
      <c r="B23" s="6" t="s">
        <v>98</v>
      </c>
      <c r="C23" s="17" t="s">
        <v>99</v>
      </c>
      <c r="D23" s="16"/>
      <c r="E23" s="16"/>
      <c r="F23" s="16"/>
      <c r="G23" s="16"/>
      <c r="H23" s="11">
        <f>MIN(C9:C14)</f>
        <v>60</v>
      </c>
      <c r="I23" s="12" t="str">
        <f ca="1">IF(H23="","",IF(NOT(_xlfn.ISFORMULA(H23)),"✗",IF(NOT(AND(OR(ISNUMBER(SEARCH("MIN(",_xlfn.FORMULATEXT(H23)))))),"✗",IF(ABS(H23-Klíč!A16)&lt;=0.01,"✓","✗"))))</f>
        <v>✓</v>
      </c>
    </row>
    <row r="24" spans="2:9" ht="17.25" customHeight="1" x14ac:dyDescent="0.35">
      <c r="B24" s="6" t="s">
        <v>100</v>
      </c>
      <c r="C24" s="17" t="s">
        <v>101</v>
      </c>
      <c r="D24" s="16"/>
      <c r="E24" s="16"/>
      <c r="F24" s="16"/>
      <c r="G24" s="16"/>
      <c r="H24" s="11">
        <f>SUM(C12:C13)</f>
        <v>133</v>
      </c>
      <c r="I24" s="12" t="str">
        <f ca="1">IF(H24="","",IF(NOT(_xlfn.ISFORMULA(H24)),"✗",IF(NOT(AND(OR(ISNUMBER(SEARCH("SUM(",_xlfn.FORMULATEXT(H24))),ISNUMBER(SEARCH("SUMA(",_xlfn.FORMULATEXT(H24)))))),"✗",IF(ABS(H24-Klíč!A17)&lt;=0.01,"✓","✗"))))</f>
        <v>✓</v>
      </c>
    </row>
    <row r="25" spans="2:9" ht="17.25" customHeight="1" x14ac:dyDescent="0.35">
      <c r="B25" s="6" t="s">
        <v>102</v>
      </c>
      <c r="C25" s="17" t="s">
        <v>103</v>
      </c>
      <c r="D25" s="16"/>
      <c r="E25" s="16"/>
      <c r="F25" s="16"/>
      <c r="G25" s="16"/>
      <c r="H25" s="11">
        <f>AVERAGE(C9:C14)-C14</f>
        <v>11.5</v>
      </c>
      <c r="I25" s="12" t="str">
        <f ca="1">IF(H25="","",IF(NOT(_xlfn.ISFORMULA(H25)),"✗",IF(NOT(AND(OR(ISNUMBER(SEARCH("AVERAGE(",_xlfn.FORMULATEXT(H25))),ISNUMBER(SEARCH("PRŮMĚR(",_xlfn.FORMULATEXT(H25)))))),"✗",IF(ABS(H25-Klíč!A18)&lt;=0.05,"✓","✗"))))</f>
        <v>✓</v>
      </c>
    </row>
    <row r="26" spans="2:9" ht="17.25" customHeight="1" x14ac:dyDescent="0.35">
      <c r="B26" s="6" t="s">
        <v>104</v>
      </c>
      <c r="C26" s="17" t="s">
        <v>105</v>
      </c>
      <c r="D26" s="16"/>
      <c r="E26" s="16"/>
      <c r="F26" s="16"/>
      <c r="G26" s="16"/>
      <c r="H26" s="14">
        <f>AVERAGE(C9:E14)</f>
        <v>75.388888888888886</v>
      </c>
      <c r="I26" s="12" t="str">
        <f ca="1">IF(H26="","",IF(NOT(_xlfn.ISFORMULA(H26)),"✗",IF(NOT(AND(OR(ISNUMBER(SEARCH("AVERAGE(",_xlfn.FORMULATEXT(H26))),ISNUMBER(SEARCH("PRŮMĚR(",_xlfn.FORMULATEXT(H26)))))),"✗",IF(ABS(H26-Klíč!A19)&lt;=0.05,"✓","✗"))))</f>
        <v>✓</v>
      </c>
    </row>
    <row r="28" spans="2:9" ht="17.25" customHeight="1" x14ac:dyDescent="0.45">
      <c r="B28" s="22" t="s">
        <v>34</v>
      </c>
      <c r="C28" s="16"/>
      <c r="D28" s="16"/>
      <c r="E28" s="16"/>
      <c r="F28" s="19" t="str">
        <f ca="1">AB1 &amp; " / " &amp; AB2 &amp; "  bodů"</f>
        <v>10 / 10  bodů</v>
      </c>
      <c r="G28" s="16"/>
      <c r="H28" s="16"/>
    </row>
  </sheetData>
  <mergeCells count="16">
    <mergeCell ref="B2:H2"/>
    <mergeCell ref="C23:G23"/>
    <mergeCell ref="C22:G22"/>
    <mergeCell ref="B28:E28"/>
    <mergeCell ref="C18:G18"/>
    <mergeCell ref="C17:G17"/>
    <mergeCell ref="C26:G26"/>
    <mergeCell ref="C21:G21"/>
    <mergeCell ref="C20:G20"/>
    <mergeCell ref="F28:H28"/>
    <mergeCell ref="C24:G24"/>
    <mergeCell ref="B4:H4"/>
    <mergeCell ref="B5:H5"/>
    <mergeCell ref="C25:G25"/>
    <mergeCell ref="B6:H6"/>
    <mergeCell ref="C19:G19"/>
  </mergeCells>
  <conditionalFormatting sqref="I17:I26">
    <cfRule type="cellIs" dxfId="11" priority="2" operator="equal">
      <formula>"✓"</formula>
    </cfRule>
    <cfRule type="cellIs" dxfId="10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29"/>
  <sheetViews>
    <sheetView zoomScaleNormal="100" workbookViewId="0">
      <selection activeCell="I27" sqref="I27"/>
    </sheetView>
  </sheetViews>
  <sheetFormatPr defaultColWidth="8.6328125" defaultRowHeight="14.5" x14ac:dyDescent="0.35"/>
  <cols>
    <col min="1" max="1" width="2" customWidth="1"/>
    <col min="2" max="2" width="12" customWidth="1"/>
    <col min="3" max="6" width="13" customWidth="1"/>
    <col min="7" max="7" width="3" customWidth="1"/>
    <col min="8" max="8" width="38" customWidth="1"/>
    <col min="9" max="9" width="14" customWidth="1"/>
    <col min="10" max="10" width="6" customWidth="1"/>
  </cols>
  <sheetData>
    <row r="1" spans="2:28" x14ac:dyDescent="0.35">
      <c r="AB1" s="7">
        <f ca="1">COUNTIF(J20:J27,"✓")</f>
        <v>8</v>
      </c>
    </row>
    <row r="2" spans="2:28" ht="21.75" customHeight="1" x14ac:dyDescent="0.55000000000000004">
      <c r="B2" s="18" t="s">
        <v>106</v>
      </c>
      <c r="C2" s="16"/>
      <c r="D2" s="16"/>
      <c r="E2" s="16"/>
      <c r="F2" s="16"/>
      <c r="G2" s="16"/>
      <c r="H2" s="16"/>
      <c r="I2" s="16"/>
      <c r="AB2" s="7">
        <v>8</v>
      </c>
    </row>
    <row r="4" spans="2:28" ht="15" customHeight="1" x14ac:dyDescent="0.35">
      <c r="B4" s="15" t="s">
        <v>1</v>
      </c>
      <c r="C4" s="16"/>
      <c r="D4" s="16"/>
      <c r="E4" s="16"/>
      <c r="F4" s="16"/>
      <c r="G4" s="16"/>
      <c r="H4" s="16"/>
      <c r="I4" s="16"/>
    </row>
    <row r="5" spans="2:28" ht="15" customHeight="1" x14ac:dyDescent="0.35">
      <c r="B5" s="17" t="s">
        <v>107</v>
      </c>
      <c r="C5" s="16"/>
      <c r="D5" s="16"/>
      <c r="E5" s="16"/>
      <c r="F5" s="16"/>
      <c r="G5" s="16"/>
      <c r="H5" s="16"/>
      <c r="I5" s="16"/>
    </row>
    <row r="6" spans="2:28" ht="15" customHeight="1" x14ac:dyDescent="0.35">
      <c r="B6" s="17" t="s">
        <v>108</v>
      </c>
      <c r="C6" s="16"/>
      <c r="D6" s="16"/>
      <c r="E6" s="16"/>
      <c r="F6" s="16"/>
      <c r="G6" s="16"/>
      <c r="H6" s="16"/>
      <c r="I6" s="16"/>
    </row>
    <row r="7" spans="2:28" ht="15" customHeight="1" x14ac:dyDescent="0.35">
      <c r="B7" s="8" t="s">
        <v>109</v>
      </c>
      <c r="C7" s="8" t="s">
        <v>110</v>
      </c>
      <c r="D7" s="8" t="s">
        <v>111</v>
      </c>
      <c r="E7" s="8" t="s">
        <v>112</v>
      </c>
      <c r="F7" s="8" t="s">
        <v>113</v>
      </c>
    </row>
    <row r="8" spans="2:28" ht="15" customHeight="1" x14ac:dyDescent="0.35">
      <c r="B8" s="9" t="s">
        <v>114</v>
      </c>
      <c r="C8" s="9">
        <v>72</v>
      </c>
      <c r="D8" s="9">
        <v>68</v>
      </c>
      <c r="E8" s="9">
        <v>85</v>
      </c>
      <c r="F8" s="9">
        <v>79</v>
      </c>
    </row>
    <row r="9" spans="2:28" ht="15" customHeight="1" x14ac:dyDescent="0.35">
      <c r="B9" s="10" t="s">
        <v>115</v>
      </c>
      <c r="C9" s="10">
        <v>88</v>
      </c>
      <c r="D9" s="10">
        <v>82</v>
      </c>
      <c r="E9" s="10">
        <v>76</v>
      </c>
      <c r="F9" s="10">
        <v>91</v>
      </c>
    </row>
    <row r="10" spans="2:28" ht="15" customHeight="1" x14ac:dyDescent="0.35">
      <c r="B10" s="9" t="s">
        <v>116</v>
      </c>
      <c r="C10" s="9">
        <v>65</v>
      </c>
      <c r="D10" s="9">
        <v>71</v>
      </c>
      <c r="E10" s="9">
        <v>90</v>
      </c>
      <c r="F10" s="9">
        <v>83</v>
      </c>
    </row>
    <row r="11" spans="2:28" ht="15" customHeight="1" x14ac:dyDescent="0.35">
      <c r="B11" s="10" t="s">
        <v>117</v>
      </c>
      <c r="C11" s="10">
        <v>91</v>
      </c>
      <c r="D11" s="10">
        <v>87</v>
      </c>
      <c r="E11" s="10">
        <v>72</v>
      </c>
      <c r="F11" s="10">
        <v>88</v>
      </c>
    </row>
    <row r="12" spans="2:28" ht="15" customHeight="1" x14ac:dyDescent="0.35">
      <c r="B12" s="9" t="s">
        <v>118</v>
      </c>
      <c r="C12" s="9">
        <v>78</v>
      </c>
      <c r="D12" s="9">
        <v>74</v>
      </c>
      <c r="E12" s="9">
        <v>88</v>
      </c>
      <c r="F12" s="9">
        <v>82</v>
      </c>
    </row>
    <row r="13" spans="2:28" ht="15" customHeight="1" x14ac:dyDescent="0.35">
      <c r="B13" s="10" t="s">
        <v>119</v>
      </c>
      <c r="C13" s="10">
        <v>55</v>
      </c>
      <c r="D13" s="10">
        <v>60</v>
      </c>
      <c r="E13" s="10">
        <v>95</v>
      </c>
      <c r="F13" s="10">
        <v>74</v>
      </c>
    </row>
    <row r="14" spans="2:28" ht="15" customHeight="1" x14ac:dyDescent="0.35">
      <c r="B14" s="9" t="s">
        <v>120</v>
      </c>
      <c r="C14" s="9">
        <v>84</v>
      </c>
      <c r="D14" s="9">
        <v>79</v>
      </c>
      <c r="E14" s="9">
        <v>81</v>
      </c>
      <c r="F14" s="9">
        <v>86</v>
      </c>
    </row>
    <row r="15" spans="2:28" ht="15" customHeight="1" x14ac:dyDescent="0.35">
      <c r="B15" s="10" t="s">
        <v>121</v>
      </c>
      <c r="C15" s="10">
        <v>96</v>
      </c>
      <c r="D15" s="10">
        <v>92</v>
      </c>
      <c r="E15" s="10">
        <v>68</v>
      </c>
      <c r="F15" s="10">
        <v>95</v>
      </c>
    </row>
    <row r="16" spans="2:28" ht="15" customHeight="1" x14ac:dyDescent="0.35">
      <c r="B16" s="9" t="s">
        <v>122</v>
      </c>
      <c r="C16" s="9">
        <v>70</v>
      </c>
      <c r="D16" s="9">
        <v>66</v>
      </c>
      <c r="E16" s="9">
        <v>93</v>
      </c>
      <c r="F16" s="9">
        <v>77</v>
      </c>
    </row>
    <row r="17" spans="2:10" ht="15" customHeight="1" x14ac:dyDescent="0.35">
      <c r="B17" s="10" t="s">
        <v>123</v>
      </c>
      <c r="C17" s="10">
        <v>83</v>
      </c>
      <c r="D17" s="10">
        <v>80</v>
      </c>
      <c r="E17" s="10">
        <v>77</v>
      </c>
      <c r="F17" s="10">
        <v>89</v>
      </c>
    </row>
    <row r="19" spans="2:10" ht="15" customHeight="1" x14ac:dyDescent="0.35">
      <c r="B19" s="4" t="s">
        <v>85</v>
      </c>
    </row>
    <row r="20" spans="2:10" ht="17.25" customHeight="1" x14ac:dyDescent="0.35">
      <c r="B20" s="6" t="s">
        <v>86</v>
      </c>
      <c r="C20" s="17" t="s">
        <v>124</v>
      </c>
      <c r="D20" s="16"/>
      <c r="E20" s="16"/>
      <c r="F20" s="16"/>
      <c r="G20" s="16"/>
      <c r="I20" s="11">
        <f>AVERAGE(C8:C17)</f>
        <v>78.2</v>
      </c>
      <c r="J20" s="12" t="str">
        <f ca="1">IF(I20="","",IF(NOT(_xlfn.ISFORMULA(I20)),"✗",IF(NOT(AND(OR(ISNUMBER(SEARCH("AVERAGE(",_xlfn.FORMULATEXT(I20))),ISNUMBER(SEARCH("PRŮMĚR(",_xlfn.FORMULATEXT(I20)))))),"✗",IF(ABS(I20-Klíč!A30)&lt;=0.05,"✓","✗"))))</f>
        <v>✓</v>
      </c>
    </row>
    <row r="21" spans="2:10" ht="17.25" customHeight="1" x14ac:dyDescent="0.35">
      <c r="B21" s="6" t="s">
        <v>88</v>
      </c>
      <c r="C21" s="17" t="s">
        <v>125</v>
      </c>
      <c r="D21" s="16"/>
      <c r="E21" s="16"/>
      <c r="F21" s="16"/>
      <c r="G21" s="16"/>
      <c r="I21" s="11">
        <f>MAX(C8:F17)</f>
        <v>96</v>
      </c>
      <c r="J21" s="12" t="str">
        <f ca="1">IF(I21="","",IF(NOT(_xlfn.ISFORMULA(I21)),"✗",IF(NOT(AND(OR(ISNUMBER(SEARCH("MAX(",_xlfn.FORMULATEXT(I21)))))),"✗",IF(ABS(I21-Klíč!A31)&lt;=0.01,"✓","✗"))))</f>
        <v>✓</v>
      </c>
    </row>
    <row r="22" spans="2:10" ht="17.25" customHeight="1" x14ac:dyDescent="0.35">
      <c r="B22" s="6" t="s">
        <v>90</v>
      </c>
      <c r="C22" s="17" t="s">
        <v>126</v>
      </c>
      <c r="D22" s="16"/>
      <c r="E22" s="16"/>
      <c r="F22" s="16"/>
      <c r="G22" s="16"/>
      <c r="I22" s="11">
        <f>MIN(C8:F17)</f>
        <v>55</v>
      </c>
      <c r="J22" s="12" t="str">
        <f ca="1">IF(I22="","",IF(NOT(_xlfn.ISFORMULA(I22)),"✗",IF(NOT(AND(OR(ISNUMBER(SEARCH("MIN(",_xlfn.FORMULATEXT(I22)))))),"✗",IF(ABS(I22-Klíč!A32)&lt;=0.01,"✓","✗"))))</f>
        <v>✓</v>
      </c>
    </row>
    <row r="23" spans="2:10" ht="17.25" customHeight="1" x14ac:dyDescent="0.35">
      <c r="B23" s="6" t="s">
        <v>92</v>
      </c>
      <c r="C23" s="17" t="s">
        <v>127</v>
      </c>
      <c r="D23" s="16"/>
      <c r="E23" s="16"/>
      <c r="F23" s="16"/>
      <c r="G23" s="16"/>
      <c r="I23" s="11">
        <f>AVERAGE(D8:D17)</f>
        <v>75.900000000000006</v>
      </c>
      <c r="J23" s="12" t="str">
        <f ca="1">IF(I23="","",IF(NOT(_xlfn.ISFORMULA(I23)),"✗",IF(NOT(AND(OR(ISNUMBER(SEARCH("AVERAGE(",_xlfn.FORMULATEXT(I23))),ISNUMBER(SEARCH("PRŮMĚR(",_xlfn.FORMULATEXT(I23)))))),"✗",IF(ABS(I23-Klíč!A33)&lt;=0.05,"✓","✗"))))</f>
        <v>✓</v>
      </c>
    </row>
    <row r="24" spans="2:10" ht="17.25" customHeight="1" x14ac:dyDescent="0.35">
      <c r="B24" s="6" t="s">
        <v>94</v>
      </c>
      <c r="C24" s="17" t="s">
        <v>128</v>
      </c>
      <c r="D24" s="16"/>
      <c r="E24" s="16"/>
      <c r="F24" s="16"/>
      <c r="G24" s="16"/>
      <c r="I24" s="11">
        <f>AVERAGE(C8:F8)</f>
        <v>76</v>
      </c>
      <c r="J24" s="12" t="str">
        <f ca="1">IF(I24="","",IF(NOT(_xlfn.ISFORMULA(I24)),"✗",IF(NOT(AND(OR(ISNUMBER(SEARCH("AVERAGE(",_xlfn.FORMULATEXT(I24))),ISNUMBER(SEARCH("PRŮMĚR(",_xlfn.FORMULATEXT(I24)))))),"✗",IF(ABS(I24-Klíč!A34)&lt;=0.05,"✓","✗"))))</f>
        <v>✓</v>
      </c>
    </row>
    <row r="25" spans="2:10" ht="17.25" customHeight="1" x14ac:dyDescent="0.35">
      <c r="B25" s="6" t="s">
        <v>96</v>
      </c>
      <c r="C25" s="17" t="s">
        <v>129</v>
      </c>
      <c r="D25" s="16"/>
      <c r="E25" s="16"/>
      <c r="F25" s="16"/>
      <c r="G25" s="16"/>
      <c r="I25" s="11">
        <f>MAX(C8:C17)-MIN(C8:C17)</f>
        <v>41</v>
      </c>
      <c r="J25" s="12" t="str">
        <f ca="1">IF(I25="","",IF(NOT(_xlfn.ISFORMULA(I25)),"✗",IF(NOT(AND(OR(ISNUMBER(SEARCH("MAX(",_xlfn.FORMULATEXT(I25)))),OR(ISNUMBER(SEARCH("MIN(",_xlfn.FORMULATEXT(I25)))))),"✗",IF(ABS(I25-Klíč!A35)&lt;=0.01,"✓","✗"))))</f>
        <v>✓</v>
      </c>
    </row>
    <row r="26" spans="2:10" ht="17.25" customHeight="1" x14ac:dyDescent="0.35">
      <c r="B26" s="6" t="s">
        <v>98</v>
      </c>
      <c r="C26" s="17" t="s">
        <v>130</v>
      </c>
      <c r="D26" s="16"/>
      <c r="E26" s="16"/>
      <c r="F26" s="16"/>
      <c r="G26" s="16"/>
      <c r="I26" s="11">
        <f>AVERAGE(E8:F17)</f>
        <v>83.45</v>
      </c>
      <c r="J26" s="12" t="str">
        <f ca="1">IF(I26="","",IF(NOT(_xlfn.ISFORMULA(I26)),"✗",IF(NOT(AND(OR(ISNUMBER(SEARCH("AVERAGE(",_xlfn.FORMULATEXT(I26))),ISNUMBER(SEARCH("PRŮMĚR(",_xlfn.FORMULATEXT(I26)))))),"✗",IF(ABS(I26-Klíč!A36)&lt;=0.05,"✓","✗"))))</f>
        <v>✓</v>
      </c>
    </row>
    <row r="27" spans="2:10" ht="17.25" customHeight="1" x14ac:dyDescent="0.35">
      <c r="B27" s="6" t="s">
        <v>100</v>
      </c>
      <c r="C27" s="17" t="s">
        <v>131</v>
      </c>
      <c r="D27" s="16"/>
      <c r="E27" s="16"/>
      <c r="F27" s="16"/>
      <c r="G27" s="16"/>
      <c r="I27" s="11">
        <f>SUM(D8:D17)</f>
        <v>759</v>
      </c>
      <c r="J27" s="12" t="str">
        <f ca="1">IF(I27="","",IF(NOT(_xlfn.ISFORMULA(I27)),"✗",IF(NOT(AND(OR(ISNUMBER(SEARCH("SUM(",_xlfn.FORMULATEXT(I27))),ISNUMBER(SEARCH("SUMA(",_xlfn.FORMULATEXT(I27)))))),"✗",IF(ABS(I27-Klíč!A37)&lt;=0.01,"✓","✗"))))</f>
        <v>✓</v>
      </c>
    </row>
    <row r="29" spans="2:10" ht="17.25" customHeight="1" x14ac:dyDescent="0.45">
      <c r="B29" s="22" t="s">
        <v>34</v>
      </c>
      <c r="C29" s="16"/>
      <c r="D29" s="16"/>
      <c r="E29" s="19" t="str">
        <f ca="1">AB1 &amp; " / " &amp; AB2 &amp; "  bodů"</f>
        <v>8 / 8  bodů</v>
      </c>
      <c r="F29" s="16"/>
      <c r="G29" s="16"/>
      <c r="H29" s="16"/>
      <c r="I29" s="16"/>
      <c r="J29" s="16"/>
    </row>
  </sheetData>
  <mergeCells count="14">
    <mergeCell ref="B2:I2"/>
    <mergeCell ref="B4:I4"/>
    <mergeCell ref="C25:G25"/>
    <mergeCell ref="C27:G27"/>
    <mergeCell ref="B5:I5"/>
    <mergeCell ref="C23:G23"/>
    <mergeCell ref="B29:D29"/>
    <mergeCell ref="C22:G22"/>
    <mergeCell ref="E29:J29"/>
    <mergeCell ref="C26:G26"/>
    <mergeCell ref="C21:G21"/>
    <mergeCell ref="C20:G20"/>
    <mergeCell ref="B6:I6"/>
    <mergeCell ref="C24:G24"/>
  </mergeCells>
  <conditionalFormatting sqref="J20:J27">
    <cfRule type="cellIs" dxfId="9" priority="2" operator="equal">
      <formula>"✓"</formula>
    </cfRule>
    <cfRule type="cellIs" dxfId="8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19"/>
  <sheetViews>
    <sheetView zoomScaleNormal="100" workbookViewId="0">
      <selection activeCell="I16" sqref="I16"/>
    </sheetView>
  </sheetViews>
  <sheetFormatPr defaultColWidth="8.6328125" defaultRowHeight="14.5" x14ac:dyDescent="0.35"/>
  <cols>
    <col min="1" max="1" width="2" customWidth="1"/>
    <col min="2" max="2" width="8" customWidth="1"/>
    <col min="3" max="3" width="14" customWidth="1"/>
    <col min="4" max="7" width="12" customWidth="1"/>
    <col min="8" max="8" width="3" customWidth="1"/>
    <col min="9" max="9" width="60.90625" customWidth="1"/>
    <col min="10" max="10" width="14" customWidth="1"/>
    <col min="11" max="11" width="6" customWidth="1"/>
  </cols>
  <sheetData>
    <row r="1" spans="2:28" x14ac:dyDescent="0.35">
      <c r="AB1" s="7">
        <f ca="1">COUNTIF(K8:K13,"✓")</f>
        <v>6</v>
      </c>
    </row>
    <row r="2" spans="2:28" ht="21.75" customHeight="1" x14ac:dyDescent="0.55000000000000004">
      <c r="B2" s="18" t="s">
        <v>132</v>
      </c>
      <c r="C2" s="16"/>
      <c r="D2" s="16"/>
      <c r="E2" s="16"/>
      <c r="F2" s="16"/>
      <c r="G2" s="16"/>
      <c r="H2" s="16"/>
      <c r="I2" s="16"/>
      <c r="J2" s="16"/>
      <c r="AB2" s="7">
        <v>6</v>
      </c>
    </row>
    <row r="4" spans="2:28" ht="15" customHeight="1" x14ac:dyDescent="0.35">
      <c r="B4" s="15" t="s">
        <v>1</v>
      </c>
      <c r="C4" s="16"/>
      <c r="D4" s="16"/>
      <c r="E4" s="16"/>
      <c r="F4" s="16"/>
      <c r="G4" s="16"/>
      <c r="H4" s="16"/>
      <c r="I4" s="16"/>
      <c r="J4" s="16"/>
    </row>
    <row r="5" spans="2:28" ht="15" customHeight="1" x14ac:dyDescent="0.35">
      <c r="B5" s="17" t="s">
        <v>133</v>
      </c>
      <c r="C5" s="16"/>
      <c r="D5" s="16"/>
      <c r="E5" s="16"/>
      <c r="F5" s="16"/>
      <c r="G5" s="16"/>
      <c r="H5" s="16"/>
      <c r="I5" s="16"/>
      <c r="J5" s="16"/>
    </row>
    <row r="6" spans="2:28" ht="15" customHeight="1" x14ac:dyDescent="0.35">
      <c r="B6" s="17" t="s">
        <v>134</v>
      </c>
      <c r="C6" s="16"/>
      <c r="D6" s="16"/>
      <c r="E6" s="16"/>
      <c r="F6" s="16"/>
      <c r="G6" s="16"/>
      <c r="H6" s="16"/>
      <c r="I6" s="16"/>
      <c r="J6" s="16"/>
    </row>
    <row r="7" spans="2:28" ht="15" customHeight="1" x14ac:dyDescent="0.35">
      <c r="B7" s="8" t="s">
        <v>135</v>
      </c>
      <c r="C7" s="8" t="s">
        <v>136</v>
      </c>
      <c r="D7" s="8" t="s">
        <v>137</v>
      </c>
      <c r="E7" s="8" t="s">
        <v>138</v>
      </c>
      <c r="F7" s="8" t="s">
        <v>139</v>
      </c>
      <c r="G7" s="8" t="s">
        <v>140</v>
      </c>
      <c r="I7" s="8" t="s">
        <v>141</v>
      </c>
      <c r="J7" s="8" t="s">
        <v>11</v>
      </c>
      <c r="K7" s="8" t="s">
        <v>12</v>
      </c>
    </row>
    <row r="8" spans="2:28" ht="17.25" customHeight="1" x14ac:dyDescent="0.35">
      <c r="B8" s="9" t="s">
        <v>142</v>
      </c>
      <c r="C8" s="9" t="s">
        <v>143</v>
      </c>
      <c r="D8" s="9">
        <v>299</v>
      </c>
      <c r="E8" s="9">
        <v>15</v>
      </c>
      <c r="F8" s="9">
        <v>4.2</v>
      </c>
      <c r="G8" s="9">
        <v>0.3</v>
      </c>
      <c r="I8" s="2" t="s">
        <v>144</v>
      </c>
      <c r="J8" s="11">
        <f>COUNT(D8:D17)</f>
        <v>7</v>
      </c>
      <c r="K8" s="12" t="str">
        <f ca="1">IF(J8="","",IF(NOT(_xlfn.ISFORMULA(J8)),"✗",IF(NOT(AND(OR(ISNUMBER(SEARCH("COUNT(",_xlfn.FORMULATEXT(J8))),ISNUMBER(SEARCH("POČET(",_xlfn.FORMULATEXT(J8)))))),"✗",IF(ABS(J8-Klíč!A50)&lt;=0.01,"✓","✗"))))</f>
        <v>✓</v>
      </c>
    </row>
    <row r="9" spans="2:28" ht="17.25" customHeight="1" x14ac:dyDescent="0.35">
      <c r="B9" s="10" t="s">
        <v>145</v>
      </c>
      <c r="C9" s="10" t="s">
        <v>146</v>
      </c>
      <c r="D9" s="10">
        <v>1490</v>
      </c>
      <c r="E9" s="10">
        <v>0</v>
      </c>
      <c r="F9" s="10"/>
      <c r="G9" s="10">
        <v>1.2</v>
      </c>
      <c r="I9" s="2" t="s">
        <v>147</v>
      </c>
      <c r="J9" s="11">
        <f>COUNTA(B8:B17)</f>
        <v>10</v>
      </c>
      <c r="K9" s="12" t="str">
        <f ca="1">IF(J9="","",IF(NOT(_xlfn.ISFORMULA(J9)),"✗",IF(NOT(AND(OR(ISNUMBER(SEARCH("COUNTA(",_xlfn.FORMULATEXT(J9))),ISNUMBER(SEARCH("POČET2(",_xlfn.FORMULATEXT(J9)))))),"✗",IF(ABS(J9-Klíč!A51)&lt;=0.01,"✓","✗"))))</f>
        <v>✓</v>
      </c>
    </row>
    <row r="10" spans="2:28" ht="17.25" customHeight="1" x14ac:dyDescent="0.35">
      <c r="B10" s="9" t="s">
        <v>148</v>
      </c>
      <c r="C10" s="9"/>
      <c r="D10" s="9"/>
      <c r="E10" s="9">
        <v>8</v>
      </c>
      <c r="F10" s="9">
        <v>3.8</v>
      </c>
      <c r="G10" s="9"/>
      <c r="I10" s="2" t="s">
        <v>149</v>
      </c>
      <c r="J10" s="11">
        <f>COUNTBLANK(F8:F17)</f>
        <v>3</v>
      </c>
      <c r="K10" s="12" t="str">
        <f ca="1">IF(J10="","",IF(NOT(_xlfn.ISFORMULA(J10)),"✗",IF(NOT(AND(OR(ISNUMBER(SEARCH("COUNTBLANK(",_xlfn.FORMULATEXT(J10))),ISNUMBER(SEARCH("POČET.PRÁZDNÝCH(",_xlfn.FORMULATEXT(J10)))))),"✗",IF(ABS(J10-Klíč!A52)&lt;=0.01,"✓","✗"))))</f>
        <v>✓</v>
      </c>
    </row>
    <row r="11" spans="2:28" ht="17.25" customHeight="1" x14ac:dyDescent="0.35">
      <c r="B11" s="10" t="s">
        <v>150</v>
      </c>
      <c r="C11" s="10" t="s">
        <v>151</v>
      </c>
      <c r="D11" s="10">
        <v>89</v>
      </c>
      <c r="E11" s="10"/>
      <c r="F11" s="10">
        <v>4.7</v>
      </c>
      <c r="G11" s="10">
        <v>0.1</v>
      </c>
      <c r="I11" s="2" t="s">
        <v>152</v>
      </c>
      <c r="J11" s="11">
        <f>COUNT(E8:E17)</f>
        <v>8</v>
      </c>
      <c r="K11" s="12" t="str">
        <f ca="1">IF(J11="","",IF(NOT(_xlfn.ISFORMULA(J11)),"✗",IF(NOT(AND(OR(ISNUMBER(SEARCH("COUNT(",_xlfn.FORMULATEXT(J11))),ISNUMBER(SEARCH("POČET(",_xlfn.FORMULATEXT(J11)))))),"✗",IF(ABS(J11-Klíč!A53)&lt;=0.01,"✓","✗"))))</f>
        <v>✓</v>
      </c>
    </row>
    <row r="12" spans="2:28" ht="17.25" customHeight="1" x14ac:dyDescent="0.35">
      <c r="B12" s="9" t="s">
        <v>153</v>
      </c>
      <c r="C12" s="9" t="s">
        <v>154</v>
      </c>
      <c r="D12" s="9">
        <v>750</v>
      </c>
      <c r="E12" s="9">
        <v>3</v>
      </c>
      <c r="F12" s="9"/>
      <c r="G12" s="9">
        <v>2.8</v>
      </c>
      <c r="I12" s="2" t="s">
        <v>155</v>
      </c>
      <c r="J12" s="11">
        <f>COUNTBLANK(G8:G17)</f>
        <v>2</v>
      </c>
      <c r="K12" s="12" t="str">
        <f ca="1">IF(J12="","",IF(NOT(_xlfn.ISFORMULA(J12)),"✗",IF(NOT(AND(OR(ISNUMBER(SEARCH("COUNTBLANK(",_xlfn.FORMULATEXT(J12))),ISNUMBER(SEARCH("POČET.PRÁZDNÝCH(",_xlfn.FORMULATEXT(J12)))))),"✗",IF(ABS(J12-Klíč!A54)&lt;=0.01,"✓","✗"))))</f>
        <v>✓</v>
      </c>
    </row>
    <row r="13" spans="2:28" ht="17.25" customHeight="1" x14ac:dyDescent="0.35">
      <c r="B13" s="10" t="s">
        <v>156</v>
      </c>
      <c r="C13" s="10" t="s">
        <v>157</v>
      </c>
      <c r="D13" s="10">
        <v>2399</v>
      </c>
      <c r="E13" s="10">
        <v>0</v>
      </c>
      <c r="F13" s="10">
        <v>4.0999999999999996</v>
      </c>
      <c r="G13" s="10">
        <v>3.5</v>
      </c>
      <c r="I13" s="2" t="s">
        <v>158</v>
      </c>
      <c r="J13" s="11">
        <f>COUNTA(C8:C17)</f>
        <v>7</v>
      </c>
      <c r="K13" s="12" t="str">
        <f ca="1">IF(J13="","",IF(NOT(_xlfn.ISFORMULA(J13)),"✗",IF(NOT(AND(OR(ISNUMBER(SEARCH("COUNTA(",_xlfn.FORMULATEXT(J13))),ISNUMBER(SEARCH("POČET2(",_xlfn.FORMULATEXT(J13)))))),"✗",IF(ABS(J13-Klíč!A55)&lt;=0.01,"✓","✗"))))</f>
        <v>✓</v>
      </c>
    </row>
    <row r="14" spans="2:28" ht="17.25" customHeight="1" x14ac:dyDescent="0.35">
      <c r="B14" s="9" t="s">
        <v>159</v>
      </c>
      <c r="C14" s="9"/>
      <c r="D14" s="9"/>
      <c r="E14" s="9">
        <v>22</v>
      </c>
      <c r="F14" s="9">
        <v>3.5</v>
      </c>
      <c r="G14" s="9"/>
    </row>
    <row r="15" spans="2:28" ht="17.25" customHeight="1" x14ac:dyDescent="0.35">
      <c r="B15" s="10" t="s">
        <v>160</v>
      </c>
      <c r="C15" s="10" t="s">
        <v>161</v>
      </c>
      <c r="D15" s="10">
        <v>145</v>
      </c>
      <c r="E15" s="10"/>
      <c r="F15" s="10">
        <v>4.9000000000000004</v>
      </c>
      <c r="G15" s="10">
        <v>0.4</v>
      </c>
    </row>
    <row r="16" spans="2:28" ht="17.25" customHeight="1" x14ac:dyDescent="0.35">
      <c r="B16" s="9" t="s">
        <v>162</v>
      </c>
      <c r="C16" s="9" t="s">
        <v>163</v>
      </c>
      <c r="D16" s="9">
        <v>890</v>
      </c>
      <c r="E16" s="9">
        <v>11</v>
      </c>
      <c r="F16" s="9"/>
      <c r="G16" s="9">
        <v>1.1000000000000001</v>
      </c>
    </row>
    <row r="17" spans="2:11" ht="17.25" customHeight="1" x14ac:dyDescent="0.35">
      <c r="B17" s="10" t="s">
        <v>164</v>
      </c>
      <c r="C17" s="10"/>
      <c r="D17" s="10"/>
      <c r="E17" s="10">
        <v>5</v>
      </c>
      <c r="F17" s="10">
        <v>4.4000000000000004</v>
      </c>
      <c r="G17" s="10">
        <v>0.9</v>
      </c>
    </row>
    <row r="19" spans="2:11" ht="17.25" customHeight="1" x14ac:dyDescent="0.45">
      <c r="B19" s="22" t="s">
        <v>34</v>
      </c>
      <c r="C19" s="16"/>
      <c r="D19" s="16"/>
      <c r="E19" s="19" t="str">
        <f ca="1">AB1 &amp; " / " &amp; AB2 &amp; "  bodů"</f>
        <v>6 / 6  bodů</v>
      </c>
      <c r="F19" s="16"/>
      <c r="G19" s="16"/>
      <c r="H19" s="16"/>
      <c r="I19" s="16"/>
      <c r="J19" s="16"/>
      <c r="K19" s="16"/>
    </row>
  </sheetData>
  <mergeCells count="6">
    <mergeCell ref="B2:J2"/>
    <mergeCell ref="B19:D19"/>
    <mergeCell ref="B5:J5"/>
    <mergeCell ref="B4:J4"/>
    <mergeCell ref="E19:K19"/>
    <mergeCell ref="B6:J6"/>
  </mergeCells>
  <conditionalFormatting sqref="K8:K13">
    <cfRule type="cellIs" dxfId="7" priority="2" operator="equal">
      <formula>"✓"</formula>
    </cfRule>
    <cfRule type="cellIs" dxfId="6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20"/>
  <sheetViews>
    <sheetView zoomScaleNormal="100" workbookViewId="0">
      <selection activeCell="E19" sqref="E19"/>
    </sheetView>
  </sheetViews>
  <sheetFormatPr defaultColWidth="8.6328125" defaultRowHeight="14.5" x14ac:dyDescent="0.35"/>
  <cols>
    <col min="1" max="1" width="2" customWidth="1"/>
    <col min="2" max="2" width="6" customWidth="1"/>
    <col min="3" max="3" width="14" customWidth="1"/>
    <col min="4" max="4" width="38.08984375" customWidth="1"/>
    <col min="5" max="5" width="14" customWidth="1"/>
    <col min="6" max="6" width="8.6328125" customWidth="1"/>
  </cols>
  <sheetData>
    <row r="1" spans="2:28" x14ac:dyDescent="0.35">
      <c r="AB1" s="7">
        <f ca="1">COUNTIF(F9:F18,"✓")</f>
        <v>10</v>
      </c>
    </row>
    <row r="2" spans="2:28" ht="21.75" customHeight="1" x14ac:dyDescent="0.55000000000000004">
      <c r="B2" s="18" t="s">
        <v>165</v>
      </c>
      <c r="C2" s="16"/>
      <c r="D2" s="16"/>
      <c r="E2" s="16"/>
      <c r="F2" s="16"/>
      <c r="G2" s="16"/>
      <c r="AB2" s="7">
        <v>10</v>
      </c>
    </row>
    <row r="4" spans="2:28" ht="15" customHeight="1" x14ac:dyDescent="0.35">
      <c r="B4" s="15" t="s">
        <v>1</v>
      </c>
      <c r="C4" s="16"/>
      <c r="D4" s="16"/>
      <c r="E4" s="16"/>
      <c r="F4" s="16"/>
      <c r="G4" s="16"/>
    </row>
    <row r="5" spans="2:28" ht="15" customHeight="1" x14ac:dyDescent="0.35">
      <c r="B5" s="17" t="s">
        <v>166</v>
      </c>
      <c r="C5" s="16"/>
      <c r="D5" s="16"/>
      <c r="E5" s="16"/>
      <c r="F5" s="16"/>
      <c r="G5" s="16"/>
    </row>
    <row r="6" spans="2:28" ht="15" customHeight="1" x14ac:dyDescent="0.35">
      <c r="B6" s="17" t="s">
        <v>167</v>
      </c>
      <c r="C6" s="16"/>
      <c r="D6" s="16"/>
      <c r="E6" s="16"/>
      <c r="F6" s="16"/>
      <c r="G6" s="16"/>
    </row>
    <row r="8" spans="2:28" ht="15" customHeight="1" x14ac:dyDescent="0.35">
      <c r="B8" s="8" t="s">
        <v>168</v>
      </c>
      <c r="C8" s="8" t="s">
        <v>169</v>
      </c>
      <c r="D8" s="8" t="s">
        <v>170</v>
      </c>
      <c r="E8" s="8" t="s">
        <v>11</v>
      </c>
    </row>
    <row r="9" spans="2:28" ht="17.25" customHeight="1" x14ac:dyDescent="0.35">
      <c r="B9" s="9" t="s">
        <v>171</v>
      </c>
      <c r="C9" s="9">
        <v>4.5449999999999999</v>
      </c>
      <c r="D9" s="13" t="s">
        <v>172</v>
      </c>
      <c r="E9" s="11">
        <f>ROUND(C9,1)</f>
        <v>4.5</v>
      </c>
      <c r="F9" s="12" t="str">
        <f ca="1">IF(E9="","",IF(NOT(_xlfn.ISFORMULA(E9)),"✗",IF(NOT(AND(OR(ISNUMBER(SEARCH("ROUND(",SUBSTITUTE(_xlfn.FORMULATEXT(E9)," ",""))),ISNUMBER(SEARCH("ZAOKROUHLIT(",SUBSTITUTE(_xlfn.FORMULATEXT(E9)," ","")))),ISNUMBER(SEARCH("C9",SUBSTITUTE(_xlfn.FORMULATEXT(E9)," ",""))),OR(ISNUMBER(SEARCH(",1)",SUBSTITUTE(_xlfn.FORMULATEXT(E9)," ",""))),ISNUMBER(SEARCH(";1)",SUBSTITUTE(_xlfn.FORMULATEXT(E9)," ","")))))),"✗",IF(ABS(E9-Klíč!A70)&lt;=0.001,"✓","✗"))))</f>
        <v>✓</v>
      </c>
    </row>
    <row r="10" spans="2:28" ht="17.25" customHeight="1" x14ac:dyDescent="0.35">
      <c r="B10" s="10" t="s">
        <v>173</v>
      </c>
      <c r="C10" s="10">
        <v>99.95</v>
      </c>
      <c r="D10" s="2" t="s">
        <v>172</v>
      </c>
      <c r="E10" s="11">
        <f>ROUND(C10,1)</f>
        <v>100</v>
      </c>
      <c r="F10" s="12" t="str">
        <f ca="1">IF(E10="","",IF(NOT(_xlfn.ISFORMULA(E10)),"✗",IF(NOT(AND(OR(ISNUMBER(SEARCH("ROUND(",SUBSTITUTE(_xlfn.FORMULATEXT(E10)," ",""))),ISNUMBER(SEARCH("ZAOKROUHLIT(",SUBSTITUTE(_xlfn.FORMULATEXT(E10)," ","")))),ISNUMBER(SEARCH("C10",SUBSTITUTE(_xlfn.FORMULATEXT(E10)," ",""))),OR(ISNUMBER(SEARCH(",1)",SUBSTITUTE(_xlfn.FORMULATEXT(E10)," ",""))),ISNUMBER(SEARCH(";1)",SUBSTITUTE(_xlfn.FORMULATEXT(E10)," ","")))))),"✗",IF(ABS(E10-Klíč!A71)&lt;=0.001,"✓","✗"))))</f>
        <v>✓</v>
      </c>
    </row>
    <row r="11" spans="2:28" ht="17.25" customHeight="1" x14ac:dyDescent="0.35">
      <c r="B11" s="9" t="s">
        <v>174</v>
      </c>
      <c r="C11" s="9">
        <v>4.9899999999999996E-3</v>
      </c>
      <c r="D11" s="13" t="s">
        <v>175</v>
      </c>
      <c r="E11" s="11">
        <f>ROUND(C11,2)</f>
        <v>0</v>
      </c>
      <c r="F11" s="12" t="str">
        <f ca="1">IF(E11="","",IF(NOT(_xlfn.ISFORMULA(E11)),"✗",IF(NOT(AND(OR(ISNUMBER(SEARCH("ROUND(",SUBSTITUTE(_xlfn.FORMULATEXT(E11)," ",""))),ISNUMBER(SEARCH("ZAOKROUHLIT(",SUBSTITUTE(_xlfn.FORMULATEXT(E11)," ","")))),ISNUMBER(SEARCH("C11",SUBSTITUTE(_xlfn.FORMULATEXT(E11)," ",""))),OR(ISNUMBER(SEARCH(",2)",SUBSTITUTE(_xlfn.FORMULATEXT(E11)," ",""))),ISNUMBER(SEARCH(";2)",SUBSTITUTE(_xlfn.FORMULATEXT(E11)," ","")))))),"✗",IF(ABS(E11-Klíč!A72)&lt;=0.001,"✓","✗"))))</f>
        <v>✓</v>
      </c>
    </row>
    <row r="12" spans="2:28" ht="17.25" customHeight="1" x14ac:dyDescent="0.35">
      <c r="B12" s="10" t="s">
        <v>176</v>
      </c>
      <c r="C12" s="10">
        <v>2375</v>
      </c>
      <c r="D12" s="2" t="s">
        <v>177</v>
      </c>
      <c r="E12" s="11">
        <f>ROUND(C12,-2)</f>
        <v>2400</v>
      </c>
      <c r="F12" s="12" t="str">
        <f ca="1">IF(E12="","",IF(NOT(_xlfn.ISFORMULA(E12)),"✗",IF(NOT(AND(OR(ISNUMBER(SEARCH("ROUND(",SUBSTITUTE(_xlfn.FORMULATEXT(E12)," ",""))),ISNUMBER(SEARCH("ZAOKROUHLIT(",SUBSTITUTE(_xlfn.FORMULATEXT(E12)," ","")))),ISNUMBER(SEARCH("C12",SUBSTITUTE(_xlfn.FORMULATEXT(E12)," ",""))),OR(ISNUMBER(SEARCH(",-2)",SUBSTITUTE(_xlfn.FORMULATEXT(E12)," ",""))),ISNUMBER(SEARCH(";-2)",SUBSTITUTE(_xlfn.FORMULATEXT(E12)," ","")))))),"✗",IF(ABS(E12-Klíč!A73)&lt;=0.001,"✓","✗"))))</f>
        <v>✓</v>
      </c>
    </row>
    <row r="13" spans="2:28" ht="17.25" customHeight="1" x14ac:dyDescent="0.35">
      <c r="B13" s="9" t="s">
        <v>178</v>
      </c>
      <c r="C13" s="9">
        <v>49.994999999999997</v>
      </c>
      <c r="D13" s="13" t="s">
        <v>175</v>
      </c>
      <c r="E13" s="11">
        <f>ROUND(C13,2)</f>
        <v>50</v>
      </c>
      <c r="F13" s="12" t="str">
        <f ca="1">IF(E13="","",IF(NOT(_xlfn.ISFORMULA(E13)),"✗",IF(NOT(AND(OR(ISNUMBER(SEARCH("ROUND(",SUBSTITUTE(_xlfn.FORMULATEXT(E13)," ",""))),ISNUMBER(SEARCH("ZAOKROUHLIT(",SUBSTITUTE(_xlfn.FORMULATEXT(E13)," ","")))),ISNUMBER(SEARCH("C13",SUBSTITUTE(_xlfn.FORMULATEXT(E13)," ",""))),OR(ISNUMBER(SEARCH(",2)",SUBSTITUTE(_xlfn.FORMULATEXT(E13)," ",""))),ISNUMBER(SEARCH(";2)",SUBSTITUTE(_xlfn.FORMULATEXT(E13)," ","")))))),"✗",IF(ABS(E13-Klíč!A74)&lt;=0.001,"✓","✗"))))</f>
        <v>✓</v>
      </c>
    </row>
    <row r="14" spans="2:28" ht="17.25" customHeight="1" x14ac:dyDescent="0.35">
      <c r="B14" s="10" t="s">
        <v>179</v>
      </c>
      <c r="C14" s="10">
        <f>0.1+0.2</f>
        <v>0.30000000000000004</v>
      </c>
      <c r="D14" s="2" t="s">
        <v>180</v>
      </c>
      <c r="E14" s="11">
        <f>ROUND(C14,1)</f>
        <v>0.3</v>
      </c>
      <c r="F14" s="12" t="str">
        <f ca="1">IF(E14="","",IF(NOT(_xlfn.ISFORMULA(E14)),"✗",IF(NOT(AND(OR(ISNUMBER(SEARCH("ROUND(",SUBSTITUTE(_xlfn.FORMULATEXT(E14)," ",""))),ISNUMBER(SEARCH("ZAOKROUHLIT(",SUBSTITUTE(_xlfn.FORMULATEXT(E14)," ","")))),ISNUMBER(SEARCH("C14",SUBSTITUTE(_xlfn.FORMULATEXT(E14)," ",""))),OR(ISNUMBER(SEARCH(",1)",SUBSTITUTE(_xlfn.FORMULATEXT(E14)," ",""))),ISNUMBER(SEARCH(";1)",SUBSTITUTE(_xlfn.FORMULATEXT(E14)," ","")))))),"✗",IF(ABS(E14-Klíč!A75)&lt;=0.001,"✓","✗"))))</f>
        <v>✓</v>
      </c>
    </row>
    <row r="15" spans="2:28" ht="17.25" customHeight="1" x14ac:dyDescent="0.35">
      <c r="B15" s="9" t="s">
        <v>181</v>
      </c>
      <c r="C15" s="9">
        <v>1234.5678</v>
      </c>
      <c r="D15" s="13" t="s">
        <v>182</v>
      </c>
      <c r="E15" s="11">
        <f>ROUND(C15,3)</f>
        <v>1234.568</v>
      </c>
      <c r="F15" s="12" t="str">
        <f ca="1">IF(E15="","",IF(NOT(_xlfn.ISFORMULA(E15)),"✗",IF(NOT(AND(OR(ISNUMBER(SEARCH("ROUND(",SUBSTITUTE(_xlfn.FORMULATEXT(E15)," ",""))),ISNUMBER(SEARCH("ZAOKROUHLIT(",SUBSTITUTE(_xlfn.FORMULATEXT(E15)," ","")))),ISNUMBER(SEARCH("C15",SUBSTITUTE(_xlfn.FORMULATEXT(E15)," ",""))),OR(ISNUMBER(SEARCH(",3)",SUBSTITUTE(_xlfn.FORMULATEXT(E15)," ",""))),ISNUMBER(SEARCH(";3)",SUBSTITUTE(_xlfn.FORMULATEXT(E15)," ","")))))),"✗",IF(ABS(E15-Klíč!A76)&lt;=0.001,"✓","✗"))))</f>
        <v>✓</v>
      </c>
    </row>
    <row r="16" spans="2:28" ht="17.25" customHeight="1" x14ac:dyDescent="0.35">
      <c r="B16" s="10" t="s">
        <v>183</v>
      </c>
      <c r="C16" s="10">
        <v>9999.5</v>
      </c>
      <c r="D16" s="2" t="s">
        <v>184</v>
      </c>
      <c r="E16" s="11">
        <f>ROUND(C16,0)</f>
        <v>10000</v>
      </c>
      <c r="F16" s="12" t="str">
        <f ca="1">IF(E16="","",IF(NOT(_xlfn.ISFORMULA(E16)),"✗",IF(NOT(AND(OR(ISNUMBER(SEARCH("ROUND(",SUBSTITUTE(_xlfn.FORMULATEXT(E16)," ",""))),ISNUMBER(SEARCH("ZAOKROUHLIT(",SUBSTITUTE(_xlfn.FORMULATEXT(E16)," ","")))),ISNUMBER(SEARCH("C16",SUBSTITUTE(_xlfn.FORMULATEXT(E16)," ",""))),OR(ISNUMBER(SEARCH(",0)",SUBSTITUTE(_xlfn.FORMULATEXT(E16)," ",""))),ISNUMBER(SEARCH(";0)",SUBSTITUTE(_xlfn.FORMULATEXT(E16)," ","")))))),"✗",IF(ABS(E16-Klíč!A77)&lt;=0.001,"✓","✗"))))</f>
        <v>✓</v>
      </c>
    </row>
    <row r="17" spans="2:6" ht="17.25" customHeight="1" x14ac:dyDescent="0.35">
      <c r="B17" s="9" t="s">
        <v>185</v>
      </c>
      <c r="C17" s="9">
        <v>4.4999999999999997E-3</v>
      </c>
      <c r="D17" s="13" t="s">
        <v>182</v>
      </c>
      <c r="E17" s="11">
        <f>ROUND(C17,3)</f>
        <v>5.0000000000000001E-3</v>
      </c>
      <c r="F17" s="12" t="str">
        <f ca="1">IF(E17="","",IF(NOT(_xlfn.ISFORMULA(E17)),"✗",IF(NOT(AND(OR(ISNUMBER(SEARCH("ROUND(",SUBSTITUTE(_xlfn.FORMULATEXT(E17)," ",""))),ISNUMBER(SEARCH("ZAOKROUHLIT(",SUBSTITUTE(_xlfn.FORMULATEXT(E17)," ","")))),ISNUMBER(SEARCH("C17",SUBSTITUTE(_xlfn.FORMULATEXT(E17)," ",""))),OR(ISNUMBER(SEARCH(",3)",SUBSTITUTE(_xlfn.FORMULATEXT(E17)," ",""))),ISNUMBER(SEARCH(";3)",SUBSTITUTE(_xlfn.FORMULATEXT(E17)," ","")))))),"✗",IF(ABS(E17-Klíč!A78)&lt;=0.001,"✓","✗"))))</f>
        <v>✓</v>
      </c>
    </row>
    <row r="18" spans="2:6" ht="17.25" customHeight="1" x14ac:dyDescent="0.35">
      <c r="B18" s="10" t="s">
        <v>186</v>
      </c>
      <c r="C18" s="10">
        <v>876543</v>
      </c>
      <c r="D18" s="2" t="s">
        <v>187</v>
      </c>
      <c r="E18" s="11">
        <f>ROUND(C18,-3)</f>
        <v>877000</v>
      </c>
      <c r="F18" s="12" t="str">
        <f ca="1">IF(E18="","",IF(NOT(_xlfn.ISFORMULA(E18)),"✗",IF(NOT(AND(OR(ISNUMBER(SEARCH("ROUND(",SUBSTITUTE(_xlfn.FORMULATEXT(E18)," ",""))),ISNUMBER(SEARCH("ZAOKROUHLIT(",SUBSTITUTE(_xlfn.FORMULATEXT(E18)," ","")))),ISNUMBER(SEARCH("C18",SUBSTITUTE(_xlfn.FORMULATEXT(E18)," ",""))),OR(ISNUMBER(SEARCH(",-3)",SUBSTITUTE(_xlfn.FORMULATEXT(E18)," ",""))),ISNUMBER(SEARCH(";-3)",SUBSTITUTE(_xlfn.FORMULATEXT(E18)," ","")))))),"✗",IF(ABS(E18-Klíč!A79)&lt;=0.001,"✓","✗"))))</f>
        <v>✓</v>
      </c>
    </row>
    <row r="20" spans="2:6" ht="17.25" customHeight="1" x14ac:dyDescent="0.45">
      <c r="B20" s="22" t="s">
        <v>34</v>
      </c>
      <c r="C20" s="16"/>
      <c r="D20" s="16"/>
      <c r="E20" s="19" t="str">
        <f ca="1">AB1 &amp; " / " &amp; AB2 &amp; "  bodů"</f>
        <v>10 / 10  bodů</v>
      </c>
      <c r="F20" s="16"/>
    </row>
  </sheetData>
  <mergeCells count="6">
    <mergeCell ref="B2:G2"/>
    <mergeCell ref="E20:F20"/>
    <mergeCell ref="B5:G5"/>
    <mergeCell ref="B4:G4"/>
    <mergeCell ref="B20:D20"/>
    <mergeCell ref="B6:G6"/>
  </mergeCells>
  <conditionalFormatting sqref="F9:F18">
    <cfRule type="cellIs" dxfId="5" priority="2" operator="equal">
      <formula>"✓"</formula>
    </cfRule>
    <cfRule type="cellIs" dxfId="4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26"/>
  <sheetViews>
    <sheetView zoomScaleNormal="100" workbookViewId="0">
      <selection activeCell="H22" sqref="H22"/>
    </sheetView>
  </sheetViews>
  <sheetFormatPr defaultColWidth="8.6328125" defaultRowHeight="14.5" x14ac:dyDescent="0.35"/>
  <cols>
    <col min="1" max="1" width="2" customWidth="1"/>
    <col min="2" max="2" width="14" customWidth="1"/>
    <col min="3" max="3" width="13" customWidth="1"/>
    <col min="4" max="4" width="10" customWidth="1"/>
    <col min="5" max="5" width="11" customWidth="1"/>
    <col min="6" max="6" width="3" customWidth="1"/>
    <col min="7" max="7" width="64.1796875" customWidth="1"/>
    <col min="8" max="8" width="14" customWidth="1"/>
    <col min="9" max="9" width="8.6328125" customWidth="1"/>
  </cols>
  <sheetData>
    <row r="1" spans="2:28" x14ac:dyDescent="0.35">
      <c r="AB1" s="7">
        <f ca="1">COUNTIF(I19:I24,"✓")</f>
        <v>6</v>
      </c>
    </row>
    <row r="2" spans="2:28" ht="21.75" customHeight="1" x14ac:dyDescent="0.55000000000000004">
      <c r="B2" s="18" t="s">
        <v>188</v>
      </c>
      <c r="C2" s="16"/>
      <c r="D2" s="16"/>
      <c r="E2" s="16"/>
      <c r="F2" s="16"/>
      <c r="G2" s="16"/>
      <c r="H2" s="16"/>
      <c r="AB2" s="7">
        <v>6</v>
      </c>
    </row>
    <row r="4" spans="2:28" ht="15" customHeight="1" x14ac:dyDescent="0.35">
      <c r="B4" s="15" t="s">
        <v>1</v>
      </c>
      <c r="C4" s="16"/>
      <c r="D4" s="16"/>
      <c r="E4" s="16"/>
      <c r="F4" s="16"/>
      <c r="G4" s="16"/>
      <c r="H4" s="16"/>
    </row>
    <row r="5" spans="2:28" ht="15" customHeight="1" x14ac:dyDescent="0.35">
      <c r="B5" s="17" t="s">
        <v>189</v>
      </c>
      <c r="C5" s="16"/>
      <c r="D5" s="16"/>
      <c r="E5" s="16"/>
      <c r="F5" s="16"/>
      <c r="G5" s="16"/>
      <c r="H5" s="16"/>
    </row>
    <row r="6" spans="2:28" ht="15" customHeight="1" x14ac:dyDescent="0.35">
      <c r="B6" s="17" t="s">
        <v>190</v>
      </c>
      <c r="C6" s="16"/>
      <c r="D6" s="16"/>
      <c r="E6" s="16"/>
      <c r="F6" s="16"/>
      <c r="G6" s="16"/>
      <c r="H6" s="16"/>
    </row>
    <row r="7" spans="2:28" ht="15" customHeight="1" x14ac:dyDescent="0.35">
      <c r="B7" s="8" t="s">
        <v>191</v>
      </c>
      <c r="C7" s="8" t="s">
        <v>137</v>
      </c>
      <c r="D7" s="8" t="s">
        <v>192</v>
      </c>
      <c r="E7" s="8" t="s">
        <v>139</v>
      </c>
    </row>
    <row r="8" spans="2:28" ht="15" customHeight="1" x14ac:dyDescent="0.35">
      <c r="B8" s="9" t="s">
        <v>193</v>
      </c>
      <c r="C8" s="9">
        <v>12500</v>
      </c>
      <c r="D8" s="9">
        <v>7</v>
      </c>
      <c r="E8" s="9">
        <v>4.3</v>
      </c>
    </row>
    <row r="9" spans="2:28" ht="15" customHeight="1" x14ac:dyDescent="0.35">
      <c r="B9" s="10" t="s">
        <v>194</v>
      </c>
      <c r="C9" s="10">
        <v>15800</v>
      </c>
      <c r="D9" s="10">
        <v>10</v>
      </c>
      <c r="E9" s="10">
        <v>4.7</v>
      </c>
    </row>
    <row r="10" spans="2:28" ht="15" customHeight="1" x14ac:dyDescent="0.35">
      <c r="B10" s="9" t="s">
        <v>195</v>
      </c>
      <c r="C10" s="9">
        <v>18900</v>
      </c>
      <c r="D10" s="9">
        <v>14</v>
      </c>
      <c r="E10" s="9">
        <v>4.5</v>
      </c>
    </row>
    <row r="11" spans="2:28" ht="15" customHeight="1" x14ac:dyDescent="0.35">
      <c r="B11" s="10" t="s">
        <v>196</v>
      </c>
      <c r="C11" s="10">
        <v>9800</v>
      </c>
      <c r="D11" s="10">
        <v>7</v>
      </c>
      <c r="E11" s="10">
        <v>4.0999999999999996</v>
      </c>
    </row>
    <row r="12" spans="2:28" ht="15" customHeight="1" x14ac:dyDescent="0.35">
      <c r="B12" s="9" t="s">
        <v>197</v>
      </c>
      <c r="C12" s="9">
        <v>14200</v>
      </c>
      <c r="D12" s="9">
        <v>10</v>
      </c>
      <c r="E12" s="9">
        <v>4.4000000000000004</v>
      </c>
    </row>
    <row r="13" spans="2:28" ht="15" customHeight="1" x14ac:dyDescent="0.35">
      <c r="B13" s="10" t="s">
        <v>198</v>
      </c>
      <c r="C13" s="10">
        <v>11300</v>
      </c>
      <c r="D13" s="10">
        <v>7</v>
      </c>
      <c r="E13" s="10">
        <v>4.2</v>
      </c>
    </row>
    <row r="14" spans="2:28" ht="15" customHeight="1" x14ac:dyDescent="0.35">
      <c r="B14" s="9" t="s">
        <v>199</v>
      </c>
      <c r="C14" s="9">
        <v>10600</v>
      </c>
      <c r="D14" s="9">
        <v>10</v>
      </c>
      <c r="E14" s="9">
        <v>3.9</v>
      </c>
    </row>
    <row r="15" spans="2:28" ht="15" customHeight="1" x14ac:dyDescent="0.35">
      <c r="B15" s="10" t="s">
        <v>200</v>
      </c>
      <c r="C15" s="10">
        <v>16700</v>
      </c>
      <c r="D15" s="10">
        <v>14</v>
      </c>
      <c r="E15" s="10">
        <v>4.5999999999999996</v>
      </c>
    </row>
    <row r="17" spans="2:9" ht="15" customHeight="1" x14ac:dyDescent="0.35">
      <c r="B17" s="4" t="s">
        <v>201</v>
      </c>
    </row>
    <row r="18" spans="2:9" ht="15" customHeight="1" x14ac:dyDescent="0.35">
      <c r="G18" s="8" t="s">
        <v>202</v>
      </c>
      <c r="H18" s="8" t="s">
        <v>11</v>
      </c>
      <c r="I18" s="8" t="s">
        <v>12</v>
      </c>
    </row>
    <row r="19" spans="2:9" ht="17.25" customHeight="1" x14ac:dyDescent="0.35">
      <c r="G19" s="2" t="s">
        <v>203</v>
      </c>
      <c r="H19" s="11">
        <f>ROUND(AVERAGE(C8:C15),-2)</f>
        <v>13700</v>
      </c>
      <c r="I19" s="12" t="str">
        <f ca="1">IF(H19="","",IF(NOT(_xlfn.ISFORMULA(H19)),"✗",IF(NOT(AND(OR(ISNUMBER(SEARCH("ROUND(",_xlfn.FORMULATEXT(H19))),ISNUMBER(SEARCH("ZAOKROUHLIT(",_xlfn.FORMULATEXT(H19)))),OR(ISNUMBER(SEARCH("AVERAGE(",_xlfn.FORMULATEXT(H19))),ISNUMBER(SEARCH("PRŮMĚR(",_xlfn.FORMULATEXT(H19)))))),"✗",IF(ABS(H19-Klíč!A90)&lt;=0.01,"✓","✗"))))</f>
        <v>✓</v>
      </c>
    </row>
    <row r="20" spans="2:9" ht="17.25" customHeight="1" x14ac:dyDescent="0.35">
      <c r="G20" s="2" t="s">
        <v>204</v>
      </c>
      <c r="H20" s="11">
        <f>-MIN(C8:C15)+MAX(C8:C15)</f>
        <v>9100</v>
      </c>
      <c r="I20" s="12" t="str">
        <f ca="1">IF(H20="","",IF(NOT(_xlfn.ISFORMULA(H20)),"✗",IF(NOT(AND(OR(ISNUMBER(SEARCH("MAX(",_xlfn.FORMULATEXT(H20)))),OR(ISNUMBER(SEARCH("MIN(",_xlfn.FORMULATEXT(H20)))))),"✗",IF(ABS(H20-Klíč!A91)&lt;=0.01,"✓","✗"))))</f>
        <v>✓</v>
      </c>
    </row>
    <row r="21" spans="2:9" ht="17.25" customHeight="1" x14ac:dyDescent="0.35">
      <c r="G21" s="2" t="s">
        <v>205</v>
      </c>
      <c r="H21" s="11">
        <f>ROUND(AVERAGE(D8:D15),0)</f>
        <v>10</v>
      </c>
      <c r="I21" s="12" t="str">
        <f ca="1">IF(H21="","",IF(NOT(_xlfn.ISFORMULA(H21)),"✗",IF(NOT(AND(OR(ISNUMBER(SEARCH("ROUND(",_xlfn.FORMULATEXT(H21))),ISNUMBER(SEARCH("ZAOKROUHLIT(",_xlfn.FORMULATEXT(H21)))),OR(ISNUMBER(SEARCH("AVERAGE(",_xlfn.FORMULATEXT(H21))),ISNUMBER(SEARCH("PRŮMĚR(",_xlfn.FORMULATEXT(H21)))))),"✗",IF(ABS(H21-Klíč!A92)&lt;=0.01,"✓","✗"))))</f>
        <v>✓</v>
      </c>
    </row>
    <row r="22" spans="2:9" ht="17.25" customHeight="1" x14ac:dyDescent="0.35">
      <c r="G22" s="2" t="s">
        <v>206</v>
      </c>
      <c r="H22" s="11">
        <f>ROUND(MAX(E8:E15)-AVERAGE(E8:E15),2)</f>
        <v>0.36</v>
      </c>
      <c r="I22" s="12" t="str">
        <f ca="1">IF(H22="","",IF(NOT(_xlfn.ISFORMULA(H22)),"✗",IF(NOT(AND(OR(ISNUMBER(SEARCH("ROUND(",_xlfn.FORMULATEXT(H22))),ISNUMBER(SEARCH("ZAOKROUHLIT(",_xlfn.FORMULATEXT(H22)))),OR(ISNUMBER(SEARCH("MAX(",_xlfn.FORMULATEXT(H22)))),OR(ISNUMBER(SEARCH("AVERAGE(",_xlfn.FORMULATEXT(H22))),ISNUMBER(SEARCH("PRŮMĚR(",_xlfn.FORMULATEXT(H22)))))),"✗",IF(ABS(H22-Klíč!A93)&lt;=0.01,"✓","✗"))))</f>
        <v>✓</v>
      </c>
    </row>
    <row r="23" spans="2:9" ht="17.25" customHeight="1" x14ac:dyDescent="0.35">
      <c r="G23" s="2" t="s">
        <v>207</v>
      </c>
      <c r="H23" s="11">
        <f>ROUND(MIN(C8:C15)*AVERAGE(E8:E15),0)</f>
        <v>42508</v>
      </c>
      <c r="I23" s="12" t="str">
        <f ca="1">IF(H23="","",IF(NOT(_xlfn.ISFORMULA(H23)),"✗",IF(NOT(AND(OR(ISNUMBER(SEARCH("ROUND(",_xlfn.FORMULATEXT(H23))),ISNUMBER(SEARCH("ZAOKROUHLIT(",_xlfn.FORMULATEXT(H23)))),ISNUMBER(SEARCH("MIN(",_xlfn.FORMULATEXT(H23))),OR(ISNUMBER(SEARCH("AVERAGE(",_xlfn.FORMULATEXT(H23))),ISNUMBER(SEARCH("PRŮMĚR(",_xlfn.FORMULATEXT(H23)))),OR(ISNUMBER(SEARCH(",0)",SUBSTITUTE(_xlfn.FORMULATEXT(H23)," ",""))),ISNUMBER(SEARCH(";0)",SUBSTITUTE(_xlfn.FORMULATEXT(H23)," ","")))))),"✗",IF(ABS(H23-Klíč!A94)&lt;=0.01,"✓","✗"))))</f>
        <v>✓</v>
      </c>
    </row>
    <row r="24" spans="2:9" ht="17.25" customHeight="1" x14ac:dyDescent="0.35">
      <c r="G24" s="2" t="s">
        <v>208</v>
      </c>
      <c r="H24" s="11">
        <f>ROUND(AVERAGE(MAX(C8:C15),MIN(C8:C15)),0)</f>
        <v>14350</v>
      </c>
      <c r="I24" s="12" t="str">
        <f ca="1">IF(H24="","",IF(NOT(_xlfn.ISFORMULA(H24)),"✗",IF(NOT(AND(OR(ISNUMBER(SEARCH("ROUND(",_xlfn.FORMULATEXT(H24))),ISNUMBER(SEARCH("ZAOKROUHLIT(",_xlfn.FORMULATEXT(H24)))),ISNUMBER(SEARCH("MAX(",_xlfn.FORMULATEXT(H24))),ISNUMBER(SEARCH("MIN(",_xlfn.FORMULATEXT(H24))),OR(ISNUMBER(SEARCH(",0)",SUBSTITUTE(_xlfn.FORMULATEXT(H24)," ",""))),ISNUMBER(SEARCH(";0)",SUBSTITUTE(_xlfn.FORMULATEXT(H24)," ","")))))),"✗",IF(ABS(H24-Klíč!A95)&lt;=0.01,"✓","✗"))))</f>
        <v>✓</v>
      </c>
    </row>
    <row r="26" spans="2:9" ht="17.25" customHeight="1" x14ac:dyDescent="0.45">
      <c r="B26" s="22" t="s">
        <v>34</v>
      </c>
      <c r="C26" s="16"/>
      <c r="D26" s="16"/>
      <c r="E26" s="16"/>
      <c r="F26" s="19" t="str">
        <f ca="1">AB1 &amp; " / " &amp; AB2 &amp; "  bodů"</f>
        <v>6 / 6  bodů</v>
      </c>
      <c r="G26" s="16"/>
      <c r="H26" s="16"/>
      <c r="I26" s="16"/>
    </row>
  </sheetData>
  <mergeCells count="6">
    <mergeCell ref="B26:E26"/>
    <mergeCell ref="F26:I26"/>
    <mergeCell ref="B4:H4"/>
    <mergeCell ref="B6:H6"/>
    <mergeCell ref="B2:H2"/>
    <mergeCell ref="B5:H5"/>
  </mergeCells>
  <conditionalFormatting sqref="I19:I24">
    <cfRule type="cellIs" dxfId="3" priority="2" operator="equal">
      <formula>"✓"</formula>
    </cfRule>
    <cfRule type="cellIs" dxfId="2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22"/>
  <sheetViews>
    <sheetView zoomScaleNormal="100" workbookViewId="0">
      <selection activeCell="L27" sqref="L27"/>
    </sheetView>
  </sheetViews>
  <sheetFormatPr defaultColWidth="8.6328125" defaultRowHeight="14.5" x14ac:dyDescent="0.35"/>
  <cols>
    <col min="1" max="1" width="2" customWidth="1"/>
    <col min="2" max="2" width="13" customWidth="1"/>
    <col min="3" max="7" width="12" customWidth="1"/>
    <col min="8" max="8" width="3" customWidth="1"/>
    <col min="9" max="9" width="52.1796875" customWidth="1"/>
    <col min="10" max="10" width="14" customWidth="1"/>
    <col min="11" max="11" width="6" customWidth="1"/>
  </cols>
  <sheetData>
    <row r="1" spans="2:28" x14ac:dyDescent="0.35">
      <c r="AB1" s="7">
        <f ca="1">COUNTIF(K8:K17,"✓")</f>
        <v>10</v>
      </c>
    </row>
    <row r="2" spans="2:28" ht="21.75" customHeight="1" x14ac:dyDescent="0.55000000000000004">
      <c r="B2" s="18" t="s">
        <v>0</v>
      </c>
      <c r="C2" s="16"/>
      <c r="D2" s="16"/>
      <c r="E2" s="16"/>
      <c r="F2" s="16"/>
      <c r="G2" s="16"/>
      <c r="H2" s="16"/>
      <c r="I2" s="16"/>
      <c r="J2" s="16"/>
      <c r="AB2" s="7">
        <v>10</v>
      </c>
    </row>
    <row r="4" spans="2:28" ht="15" customHeight="1" x14ac:dyDescent="0.35">
      <c r="B4" s="15" t="s">
        <v>1</v>
      </c>
      <c r="C4" s="16"/>
      <c r="D4" s="16"/>
      <c r="E4" s="16"/>
      <c r="F4" s="16"/>
      <c r="G4" s="16"/>
      <c r="H4" s="16"/>
      <c r="I4" s="16"/>
      <c r="J4" s="16"/>
    </row>
    <row r="5" spans="2:28" ht="15" customHeight="1" x14ac:dyDescent="0.35">
      <c r="B5" s="17" t="s">
        <v>2</v>
      </c>
      <c r="C5" s="16"/>
      <c r="D5" s="16"/>
      <c r="E5" s="16"/>
      <c r="F5" s="16"/>
      <c r="G5" s="16"/>
      <c r="H5" s="16"/>
      <c r="I5" s="16"/>
      <c r="J5" s="16"/>
    </row>
    <row r="6" spans="2:28" ht="15" customHeight="1" x14ac:dyDescent="0.35">
      <c r="B6" s="17" t="s">
        <v>3</v>
      </c>
      <c r="C6" s="16"/>
      <c r="D6" s="16"/>
      <c r="E6" s="16"/>
      <c r="F6" s="16"/>
      <c r="G6" s="16"/>
      <c r="H6" s="16"/>
      <c r="I6" s="16"/>
      <c r="J6" s="16"/>
    </row>
    <row r="7" spans="2:28" ht="15" customHeight="1" x14ac:dyDescent="0.35"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I7" s="8" t="s">
        <v>10</v>
      </c>
      <c r="J7" s="8" t="s">
        <v>11</v>
      </c>
      <c r="K7" s="8" t="s">
        <v>12</v>
      </c>
    </row>
    <row r="8" spans="2:28" ht="17.25" customHeight="1" x14ac:dyDescent="0.35">
      <c r="B8" s="9" t="s">
        <v>13</v>
      </c>
      <c r="C8" s="9">
        <v>45200</v>
      </c>
      <c r="D8" s="9">
        <v>18300</v>
      </c>
      <c r="E8" s="9">
        <v>12400</v>
      </c>
      <c r="F8" s="9">
        <v>8900</v>
      </c>
      <c r="G8" s="9">
        <v>5600</v>
      </c>
      <c r="I8" s="2" t="s">
        <v>14</v>
      </c>
      <c r="J8" s="11">
        <f>SUM(C8:G17)</f>
        <v>932100</v>
      </c>
      <c r="K8" s="12" t="str">
        <f ca="1">IF(J8="","",IF(NOT(_xlfn.ISFORMULA(J8)),"✗",IF(NOT(AND(OR(ISNUMBER(SEARCH("SUM(",_xlfn.FORMULATEXT(J8))),ISNUMBER(SEARCH("SUMA(",_xlfn.FORMULATEXT(J8)))))),"✗",IF(ABS(J8-Klíč!A110)&lt;=1,"✓","✗"))))</f>
        <v>✓</v>
      </c>
    </row>
    <row r="9" spans="2:28" ht="17.25" customHeight="1" x14ac:dyDescent="0.35">
      <c r="B9" s="10" t="s">
        <v>15</v>
      </c>
      <c r="C9" s="10">
        <v>47800</v>
      </c>
      <c r="D9" s="10">
        <v>19200</v>
      </c>
      <c r="E9" s="10">
        <v>13100</v>
      </c>
      <c r="F9" s="10">
        <v>9400</v>
      </c>
      <c r="G9" s="10">
        <v>6200</v>
      </c>
      <c r="I9" s="2" t="s">
        <v>16</v>
      </c>
      <c r="J9" s="11">
        <f>ROUND(AVERAGE(SUM(C11:G11),SUM(C13:G13),SUM(C15:G15),SUM(C12:G12),SUM(C14:G14),SUM(C9:G9),SUM(C8:G8),SUM(C16:G16),SUM(C10:G10),SUM(C17:G17)),0)</f>
        <v>93210</v>
      </c>
      <c r="K9" s="12" t="str">
        <f ca="1">IF(J9="","",IF(NOT(_xlfn.ISFORMULA(J9)),"✗",IF(NOT(AND(OR(ISNUMBER(SEARCH("ROUND(",_xlfn.FORMULATEXT(J9))),ISNUMBER(SEARCH("ZAOKROUHLIT(",_xlfn.FORMULATEXT(J9)))),OR(ISNUMBER(SEARCH(",0)",SUBSTITUTE(_xlfn.FORMULATEXT(J9)," ",""))),ISNUMBER(SEARCH(";0)",SUBSTITUTE(_xlfn.FORMULATEXT(J9)," ","")))),OR(ISNUMBER(SEARCH("AVERAGE(",_xlfn.FORMULATEXT(J9))),ISNUMBER(SEARCH("PRŮMĚR(",_xlfn.FORMULATEXT(J9)))))),"✗",IF(ABS(J9-Klíč!A111)&lt;=0.01,"✓","✗"))))</f>
        <v>✓</v>
      </c>
    </row>
    <row r="10" spans="2:28" ht="17.25" customHeight="1" x14ac:dyDescent="0.35">
      <c r="B10" s="9" t="s">
        <v>17</v>
      </c>
      <c r="C10" s="9">
        <v>46500</v>
      </c>
      <c r="D10" s="9">
        <v>18700</v>
      </c>
      <c r="E10" s="9">
        <v>12800</v>
      </c>
      <c r="F10" s="9">
        <v>9100</v>
      </c>
      <c r="G10" s="9">
        <v>5900</v>
      </c>
      <c r="I10" s="2" t="s">
        <v>18</v>
      </c>
      <c r="J10" s="11">
        <f>MAX(SUM(C11:G11),SUM(C13:G13),SUM(C15:G15),SUM(C12:G12),SUM(C14:G14),SUM(C9:G9),SUM(C8:G8),SUM(C16:G16),SUM(C10:G10),SUM(C17:G17))</f>
        <v>112000</v>
      </c>
      <c r="K10" s="12" t="str">
        <f ca="1">IF(J10="","",IF(NOT(_xlfn.ISFORMULA(J10)),"✗",IF(NOT(AND(OR(ISNUMBER(SEARCH("MAX(",_xlfn.FORMULATEXT(J10)))))),"✗",IF(ABS(J10-Klíč!A112)&lt;=1,"✓","✗"))))</f>
        <v>✓</v>
      </c>
    </row>
    <row r="11" spans="2:28" ht="17.25" customHeight="1" x14ac:dyDescent="0.35">
      <c r="B11" s="10" t="s">
        <v>19</v>
      </c>
      <c r="C11" s="10">
        <v>38900</v>
      </c>
      <c r="D11" s="10">
        <v>15600</v>
      </c>
      <c r="E11" s="10">
        <v>10200</v>
      </c>
      <c r="F11" s="10">
        <v>7600</v>
      </c>
      <c r="G11" s="10">
        <v>4800</v>
      </c>
      <c r="I11" s="2" t="s">
        <v>20</v>
      </c>
      <c r="J11" s="11">
        <f>MIN(SUM(C11:G11),SUM(C13:G13),SUM(C15:G15),SUM(C12:G12),SUM(C14:G14),SUM(C9:G9),SUM(C8:G8),SUM(C16:G16),SUM(C10:G10),SUM(C17:G17))</f>
        <v>77100</v>
      </c>
      <c r="K11" s="12" t="str">
        <f ca="1">IF(J11="","",IF(NOT(_xlfn.ISFORMULA(J11)),"✗",IF(NOT(AND(OR(ISNUMBER(SEARCH("MIN(",_xlfn.FORMULATEXT(J11)))))),"✗",IF(ABS(J11-Klíč!A113)&lt;=1,"✓","✗"))))</f>
        <v>✓</v>
      </c>
    </row>
    <row r="12" spans="2:28" ht="17.25" customHeight="1" x14ac:dyDescent="0.35">
      <c r="B12" s="9" t="s">
        <v>21</v>
      </c>
      <c r="C12" s="9">
        <v>44100</v>
      </c>
      <c r="D12" s="9">
        <v>17800</v>
      </c>
      <c r="E12" s="9">
        <v>11900</v>
      </c>
      <c r="F12" s="9">
        <v>8400</v>
      </c>
      <c r="G12" s="9">
        <v>5300</v>
      </c>
      <c r="I12" s="2" t="s">
        <v>22</v>
      </c>
      <c r="J12" s="11">
        <f>SUM(C8:C17)</f>
        <v>460700</v>
      </c>
      <c r="K12" s="12" t="str">
        <f ca="1">IF(J12="","",IF(NOT(_xlfn.ISFORMULA(J12)),"✗",IF(NOT(AND(OR(ISNUMBER(SEARCH("SUM(",_xlfn.FORMULATEXT(J12))),ISNUMBER(SEARCH("SUMA(",_xlfn.FORMULATEXT(J12)))))),"✗",IF(ABS(J12-Klíč!A114)&lt;=1,"✓","✗"))))</f>
        <v>✓</v>
      </c>
    </row>
    <row r="13" spans="2:28" ht="17.25" customHeight="1" x14ac:dyDescent="0.35">
      <c r="B13" s="10" t="s">
        <v>23</v>
      </c>
      <c r="C13" s="10">
        <v>43600</v>
      </c>
      <c r="D13" s="10">
        <v>17200</v>
      </c>
      <c r="E13" s="10">
        <v>11500</v>
      </c>
      <c r="F13" s="10">
        <v>8200</v>
      </c>
      <c r="G13" s="10">
        <v>5100</v>
      </c>
      <c r="I13" s="2" t="s">
        <v>24</v>
      </c>
      <c r="J13" s="11">
        <f>ROUND(AVERAGE(E8:E17),-2)</f>
        <v>12900</v>
      </c>
      <c r="K13" s="12" t="str">
        <f ca="1">IF(J13="","",IF(NOT(_xlfn.ISFORMULA(J13)),"✗",IF(NOT(AND(OR(ISNUMBER(SEARCH("ROUND(",_xlfn.FORMULATEXT(J13))),ISNUMBER(SEARCH("ZAOKROUHLIT(",_xlfn.FORMULATEXT(J13)))),OR(ISNUMBER(SEARCH(",-2)",SUBSTITUTE(_xlfn.FORMULATEXT(J13)," ",""))),ISNUMBER(SEARCH(";-2)",SUBSTITUTE(_xlfn.FORMULATEXT(J13)," ","")))),OR(ISNUMBER(SEARCH("AVERAGE(",_xlfn.FORMULATEXT(J13))),ISNUMBER(SEARCH("PRŮMĚR(",_xlfn.FORMULATEXT(J13)))))),"✗",IF(ABS(J13-Klíč!A115)&lt;=0.01,"✓","✗"))))</f>
        <v>✓</v>
      </c>
    </row>
    <row r="14" spans="2:28" ht="17.25" customHeight="1" x14ac:dyDescent="0.35">
      <c r="B14" s="9" t="s">
        <v>25</v>
      </c>
      <c r="C14" s="9">
        <v>47200</v>
      </c>
      <c r="D14" s="9">
        <v>19100</v>
      </c>
      <c r="E14" s="9">
        <v>12700</v>
      </c>
      <c r="F14" s="9">
        <v>9300</v>
      </c>
      <c r="G14" s="9">
        <v>6100</v>
      </c>
      <c r="I14" s="2" t="s">
        <v>26</v>
      </c>
      <c r="J14" s="11">
        <f>MAX(SUM(C11:G11),SUM(C13:G13),SUM(C15:G15),SUM(C12:G12),SUM(C14:G14),SUM(C9:G9),SUM(C8:G8),SUM(C16:G16),SUM(C10:G10),SUM(C17:G17))-MIN(SUM(C11:G11),SUM(C13:G13),SUM(C15:G15),SUM(C12:G12),SUM(C14:G14),SUM(C9:G9),SUM(C8:G8),SUM(C16:G16),SUM(C10:G10),SUM(C17:G17))</f>
        <v>34900</v>
      </c>
      <c r="K14" s="12" t="str">
        <f ca="1">IF(J14="","",IF(NOT(_xlfn.ISFORMULA(J14)),"✗",IF(NOT(AND(OR(ISNUMBER(SEARCH("MAX(",_xlfn.FORMULATEXT(J14)))),OR(ISNUMBER(SEARCH("MIN(",_xlfn.FORMULATEXT(J14)))))),"✗",IF(ABS(J14-Klíč!A116)&lt;=1,"✓","✗"))))</f>
        <v>✓</v>
      </c>
    </row>
    <row r="15" spans="2:28" ht="17.25" customHeight="1" x14ac:dyDescent="0.35">
      <c r="B15" s="10" t="s">
        <v>27</v>
      </c>
      <c r="C15" s="10">
        <v>46800</v>
      </c>
      <c r="D15" s="10">
        <v>18900</v>
      </c>
      <c r="E15" s="10">
        <v>13400</v>
      </c>
      <c r="F15" s="10">
        <v>9700</v>
      </c>
      <c r="G15" s="10">
        <v>6800</v>
      </c>
      <c r="I15" s="2" t="s">
        <v>28</v>
      </c>
      <c r="J15" s="11">
        <f>ROUND(AVERAGE(F8:F17),-1)</f>
        <v>9190</v>
      </c>
      <c r="K15" s="12" t="str">
        <f ca="1">IF(J15="","",IF(NOT(_xlfn.ISFORMULA(J15)),"✗",IF(NOT(AND(OR(ISNUMBER(SEARCH("ROUND(",_xlfn.FORMULATEXT(J15))),ISNUMBER(SEARCH("ZAOKROUHLIT(",_xlfn.FORMULATEXT(J15)))),OR(ISNUMBER(SEARCH(",-1)",SUBSTITUTE(_xlfn.FORMULATEXT(J15)," ",""))),ISNUMBER(SEARCH(";-1)",SUBSTITUTE(_xlfn.FORMULATEXT(J15)," ","")))),OR(ISNUMBER(SEARCH("AVERAGE(",_xlfn.FORMULATEXT(J15))),ISNUMBER(SEARCH("PRŮMĚR(",_xlfn.FORMULATEXT(J15)))))),"✗",IF(ABS(J15-Klíč!A117)&lt;=0.01,"✓","✗"))))</f>
        <v>✓</v>
      </c>
    </row>
    <row r="16" spans="2:28" ht="17.25" customHeight="1" x14ac:dyDescent="0.35">
      <c r="B16" s="9" t="s">
        <v>29</v>
      </c>
      <c r="C16" s="9">
        <v>48500</v>
      </c>
      <c r="D16" s="9">
        <v>20200</v>
      </c>
      <c r="E16" s="9">
        <v>14600</v>
      </c>
      <c r="F16" s="9">
        <v>10100</v>
      </c>
      <c r="G16" s="9">
        <v>7400</v>
      </c>
      <c r="I16" s="2" t="s">
        <v>30</v>
      </c>
      <c r="J16" s="11">
        <f>SUM(D8:D17,F8:F17)</f>
        <v>279300</v>
      </c>
      <c r="K16" s="12" t="str">
        <f ca="1">IF(J16="","",IF(NOT(_xlfn.ISFORMULA(J16)),"✗",IF(NOT(AND(OR(ISNUMBER(SEARCH("SUM(",_xlfn.FORMULATEXT(J16))),ISNUMBER(SEARCH("SUMA(",_xlfn.FORMULATEXT(J16)))))),"✗",IF(ABS(J16-Klíč!A118)&lt;=1,"✓","✗"))))</f>
        <v>✓</v>
      </c>
    </row>
    <row r="17" spans="2:11" ht="17.25" customHeight="1" x14ac:dyDescent="0.35">
      <c r="B17" s="10" t="s">
        <v>31</v>
      </c>
      <c r="C17" s="10">
        <v>52100</v>
      </c>
      <c r="D17" s="10">
        <v>22400</v>
      </c>
      <c r="E17" s="10">
        <v>16800</v>
      </c>
      <c r="F17" s="10">
        <v>11200</v>
      </c>
      <c r="G17" s="10">
        <v>9500</v>
      </c>
      <c r="I17" s="2" t="s">
        <v>32</v>
      </c>
      <c r="J17" s="11">
        <f>ROUND(SUM(C8:C17)/(SUM(C8:G17)/100),1)</f>
        <v>49.4</v>
      </c>
      <c r="K17" s="12" t="str">
        <f ca="1">IF(J17="","",IF(NOT(_xlfn.ISFORMULA(J17)),"✗",IF(NOT(AND(OR(ISNUMBER(SEARCH("ROUND(",_xlfn.FORMULATEXT(J17))),ISNUMBER(SEARCH("ZAOKROUHLIT(",_xlfn.FORMULATEXT(J17)))),OR(ISNUMBER(SEARCH(",1)",SUBSTITUTE(_xlfn.FORMULATEXT(J17)," ",""))),ISNUMBER(SEARCH(";1)",SUBSTITUTE(_xlfn.FORMULATEXT(J17)," ","")))),OR(ISNUMBER(SEARCH("SUM(",_xlfn.FORMULATEXT(J17))),ISNUMBER(SEARCH("SUMA(",_xlfn.FORMULATEXT(J17)))))),"✗",IF(ABS(J17-Klíč!A119)&lt;=0.01,"✓","✗"))))</f>
        <v>✓</v>
      </c>
    </row>
    <row r="19" spans="2:11" ht="15" customHeight="1" x14ac:dyDescent="0.35">
      <c r="B19" s="20" t="s">
        <v>33</v>
      </c>
      <c r="C19" s="16"/>
      <c r="D19" s="16"/>
      <c r="E19" s="16"/>
      <c r="F19" s="16"/>
      <c r="G19" s="16"/>
      <c r="H19" s="16"/>
      <c r="I19" s="16"/>
      <c r="J19" s="16"/>
    </row>
    <row r="20" spans="2:11" ht="21.75" customHeight="1" x14ac:dyDescent="0.35">
      <c r="B20" s="21"/>
      <c r="C20" s="16"/>
      <c r="D20" s="16"/>
      <c r="E20" s="16"/>
      <c r="F20" s="16"/>
      <c r="G20" s="16"/>
      <c r="H20" s="16"/>
      <c r="I20" s="16"/>
      <c r="J20" s="16"/>
    </row>
    <row r="22" spans="2:11" ht="17.25" customHeight="1" x14ac:dyDescent="0.45">
      <c r="B22" s="22" t="s">
        <v>34</v>
      </c>
      <c r="C22" s="16"/>
      <c r="D22" s="16"/>
      <c r="E22" s="19" t="str">
        <f ca="1">AB1 &amp; " / " &amp; AB2 &amp; "  bodů"</f>
        <v>10 / 10  bodů</v>
      </c>
      <c r="F22" s="16"/>
      <c r="G22" s="16"/>
      <c r="H22" s="16"/>
      <c r="I22" s="16"/>
      <c r="J22" s="16"/>
      <c r="K22" s="16"/>
    </row>
  </sheetData>
  <mergeCells count="8">
    <mergeCell ref="B4:J4"/>
    <mergeCell ref="B6:J6"/>
    <mergeCell ref="B2:J2"/>
    <mergeCell ref="E22:K22"/>
    <mergeCell ref="B19:J19"/>
    <mergeCell ref="B5:J5"/>
    <mergeCell ref="B20:J20"/>
    <mergeCell ref="B22:D22"/>
  </mergeCells>
  <conditionalFormatting sqref="K8:K17">
    <cfRule type="cellIs" dxfId="1" priority="2" operator="equal">
      <formula>"✓"</formula>
    </cfRule>
    <cfRule type="cellIs" dxfId="0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Pokyny</vt:lpstr>
      <vt:lpstr>Klíč</vt:lpstr>
      <vt:lpstr>Úkol 1</vt:lpstr>
      <vt:lpstr>Úkol 2</vt:lpstr>
      <vt:lpstr>Úkol 3</vt:lpstr>
      <vt:lpstr>Úkol 4</vt:lpstr>
      <vt:lpstr>Úkol 5</vt:lpstr>
      <vt:lpstr>Úkol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Šenkeřík Filip, Ing.</cp:lastModifiedBy>
  <cp:revision>0</cp:revision>
  <dcterms:created xsi:type="dcterms:W3CDTF">2026-05-31T14:32:36Z</dcterms:created>
  <dcterms:modified xsi:type="dcterms:W3CDTF">2026-06-04T11:58:30Z</dcterms:modified>
  <dc:language>en-US</dc:language>
</cp:coreProperties>
</file>