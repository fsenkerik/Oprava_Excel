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ilip.senkerik\Desktop\Aplikace pro opravu excel souborů\"/>
    </mc:Choice>
  </mc:AlternateContent>
  <xr:revisionPtr revIDLastSave="0" documentId="13_ncr:1_{849254C3-0DFF-49DA-A848-8E74E2691AD5}" xr6:coauthVersionLast="47" xr6:coauthVersionMax="47" xr10:uidLastSave="{00000000-0000-0000-0000-000000000000}"/>
  <bookViews>
    <workbookView xWindow="-110" yWindow="-110" windowWidth="25820" windowHeight="15500" tabRatio="500" activeTab="6" xr2:uid="{00000000-000D-0000-FFFF-FFFF00000000}"/>
  </bookViews>
  <sheets>
    <sheet name="Pokyny" sheetId="1" r:id="rId1"/>
    <sheet name="Klíč" sheetId="2" state="hidden" r:id="rId2"/>
    <sheet name="Úkol 1" sheetId="3" r:id="rId3"/>
    <sheet name="Úkol 2" sheetId="4" r:id="rId4"/>
    <sheet name="Úkol 3" sheetId="5" r:id="rId5"/>
    <sheet name="Úkol 4" sheetId="6" r:id="rId6"/>
    <sheet name="Úkol 5" sheetId="7" r:id="rId7"/>
    <sheet name="Úkol 6" sheetId="8" r:id="rId8"/>
  </sheets>
  <definedNames>
    <definedName name="_xlnm.Print_Area" localSheetId="0">Pokyny!$A$1:$H$30</definedName>
    <definedName name="_xlnm.Print_Area" localSheetId="2">'Úkol 1'!$A$1:$H$30</definedName>
    <definedName name="_xlnm.Print_Area" localSheetId="3">'Úkol 2'!$A$1:$F$25</definedName>
    <definedName name="_xlnm.Print_Area" localSheetId="4">'Úkol 3'!$A$1:$F$35</definedName>
    <definedName name="_xlnm.Print_Area" localSheetId="5">'Úkol 4'!$A$1:$I$30</definedName>
    <definedName name="_xlnm.Print_Area" localSheetId="6">'Úkol 5'!$A$1:$F$35</definedName>
    <definedName name="_xlnm.Print_Area" localSheetId="7">'Úkol 6'!$A$1:$H$40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7" l="1"/>
  <c r="D20" i="7"/>
  <c r="F20" i="7" s="1"/>
  <c r="H11" i="6"/>
  <c r="I11" i="6" s="1"/>
  <c r="H10" i="6"/>
  <c r="I10" i="6" s="1"/>
  <c r="D20" i="4"/>
  <c r="D19" i="4"/>
  <c r="D18" i="4"/>
  <c r="D17" i="4"/>
  <c r="D15" i="4"/>
  <c r="D16" i="4"/>
  <c r="D14" i="4"/>
  <c r="E14" i="4" s="1"/>
  <c r="D13" i="4"/>
  <c r="E13" i="4" s="1"/>
  <c r="D12" i="4"/>
  <c r="D11" i="4"/>
  <c r="D10" i="4"/>
  <c r="D9" i="4"/>
  <c r="G27" i="8"/>
  <c r="G26" i="8"/>
  <c r="AB1" i="8" s="1"/>
  <c r="E35" i="8" s="1"/>
  <c r="G25" i="8"/>
  <c r="G24" i="8"/>
  <c r="G23" i="8"/>
  <c r="G22" i="8"/>
  <c r="G21" i="8"/>
  <c r="G20" i="8"/>
  <c r="F28" i="7"/>
  <c r="F27" i="7"/>
  <c r="F26" i="7"/>
  <c r="F25" i="7"/>
  <c r="F24" i="7"/>
  <c r="F23" i="7"/>
  <c r="F22" i="7"/>
  <c r="F21" i="7"/>
  <c r="F19" i="7"/>
  <c r="I16" i="6"/>
  <c r="I15" i="6"/>
  <c r="I14" i="6"/>
  <c r="I13" i="6"/>
  <c r="I12" i="6"/>
  <c r="I9" i="6"/>
  <c r="F22" i="5"/>
  <c r="F21" i="5"/>
  <c r="F20" i="5"/>
  <c r="F19" i="5"/>
  <c r="F18" i="5"/>
  <c r="F17" i="5"/>
  <c r="F16" i="5"/>
  <c r="F15" i="5"/>
  <c r="AB1" i="5"/>
  <c r="E30" i="5" s="1"/>
  <c r="E20" i="4"/>
  <c r="E19" i="4"/>
  <c r="E18" i="4"/>
  <c r="E17" i="4"/>
  <c r="E16" i="4"/>
  <c r="E15" i="4"/>
  <c r="E12" i="4"/>
  <c r="E11" i="4"/>
  <c r="E10" i="4"/>
  <c r="E9" i="4"/>
  <c r="H26" i="3"/>
  <c r="H25" i="3"/>
  <c r="H24" i="3"/>
  <c r="H23" i="3"/>
  <c r="H22" i="3"/>
  <c r="H21" i="3"/>
  <c r="H20" i="3"/>
  <c r="H19" i="3"/>
  <c r="H18" i="3"/>
  <c r="H17" i="3"/>
  <c r="F14" i="3"/>
  <c r="F13" i="3"/>
  <c r="F12" i="3"/>
  <c r="F11" i="3"/>
  <c r="F10" i="3"/>
  <c r="F9" i="3"/>
  <c r="AB1" i="7" l="1"/>
  <c r="E30" i="7" s="1"/>
  <c r="AB1" i="6"/>
  <c r="F25" i="6" s="1"/>
  <c r="AB1" i="4"/>
  <c r="D22" i="4" s="1"/>
  <c r="AB1" i="3"/>
  <c r="F28" i="3"/>
  <c r="E27" i="1" l="1"/>
</calcChain>
</file>

<file path=xl/sharedStrings.xml><?xml version="1.0" encoding="utf-8"?>
<sst xmlns="http://schemas.openxmlformats.org/spreadsheetml/2006/main" count="273" uniqueCount="213">
  <si>
    <t>Hromadné zpracování dat – Cvičení (1. hodina)</t>
  </si>
  <si>
    <t>Pracovní sešit pro 2 vyučovací hodiny – sekunda</t>
  </si>
  <si>
    <t>Jméno:</t>
  </si>
  <si>
    <t>Třída:</t>
  </si>
  <si>
    <t>Pokyny:</t>
  </si>
  <si>
    <t>1.</t>
  </si>
  <si>
    <t>Postupuj listy podle pořadí - od Úkolu 1 až po Úkol 6.</t>
  </si>
  <si>
    <t>2.</t>
  </si>
  <si>
    <t>Žluté buňky jsou na vyplnění - sem patří vzorec, číslo nebo text.</t>
  </si>
  <si>
    <t>3.</t>
  </si>
  <si>
    <t>Každý vzorec začíná znaménkem  =  (rovná se).</t>
  </si>
  <si>
    <t>4.</t>
  </si>
  <si>
    <t>Vedle žlutého políčka se hned objeví ✓ (správně) nebo ✗ (špatně).</t>
  </si>
  <si>
    <t>5.</t>
  </si>
  <si>
    <t>Na konci každého listu vidíš své skóre. Snaž se získat plný počet bodů!</t>
  </si>
  <si>
    <t>6.</t>
  </si>
  <si>
    <t>Když si nevíš rady, zeptej se učitele nebo se vrať k ukázkovému souboru.</t>
  </si>
  <si>
    <t>Přehled úkolů:</t>
  </si>
  <si>
    <t>Úkol 1</t>
  </si>
  <si>
    <t>Adresy buněk</t>
  </si>
  <si>
    <t>Najdi hodnoty v tabulce a urči adresy buněk</t>
  </si>
  <si>
    <t>Úkol 2</t>
  </si>
  <si>
    <t>Vzorce s operátory</t>
  </si>
  <si>
    <t>Vypočítej příklady pomocí vzorců</t>
  </si>
  <si>
    <t>Úkol 3</t>
  </si>
  <si>
    <t>Vzorce s odkazy</t>
  </si>
  <si>
    <t>Sestav vzorce s adresami buněk</t>
  </si>
  <si>
    <t>Úkol 4</t>
  </si>
  <si>
    <t>Funkce SUMA</t>
  </si>
  <si>
    <t>Použij funkci SUMA na různá data</t>
  </si>
  <si>
    <t>Úkol 5</t>
  </si>
  <si>
    <t>Statistické funkce</t>
  </si>
  <si>
    <t>PRŮMĚR, MAX, MIN, POČET v praxi</t>
  </si>
  <si>
    <t>Úkol 6</t>
  </si>
  <si>
    <t>Komplexní úloha</t>
  </si>
  <si>
    <t>Kombinace všech znalostí - sportovní klub</t>
  </si>
  <si>
    <t>Tvoje celkové skóre:</t>
  </si>
  <si>
    <t>ÚKOL 1 - Adresy buněk</t>
  </si>
  <si>
    <t>Dana</t>
  </si>
  <si>
    <t>Filip</t>
  </si>
  <si>
    <t>C14</t>
  </si>
  <si>
    <t>F11</t>
  </si>
  <si>
    <t>B</t>
  </si>
  <si>
    <t>Úkol 1 – Adresy buněk</t>
  </si>
  <si>
    <t>📝  ZADÁNÍ:</t>
  </si>
  <si>
    <t>Tabulka níže ukazuje výsledky žáků z testů a jejich průměr.</t>
  </si>
  <si>
    <t>Najdi odpovědi na otázky pod tabulkou. Žluté buňky vyplň.</t>
  </si>
  <si>
    <t>Žák</t>
  </si>
  <si>
    <t>Test 1</t>
  </si>
  <si>
    <t>Test 2</t>
  </si>
  <si>
    <t>Test 3</t>
  </si>
  <si>
    <t>Průměr</t>
  </si>
  <si>
    <t>Adam</t>
  </si>
  <si>
    <t>Bára</t>
  </si>
  <si>
    <t>Cyril</t>
  </si>
  <si>
    <t>Eva</t>
  </si>
  <si>
    <t>Otázky:</t>
  </si>
  <si>
    <t>1)</t>
  </si>
  <si>
    <t>Co je v buňce  C10 ?</t>
  </si>
  <si>
    <t>2)</t>
  </si>
  <si>
    <t>Co je v buňce  E11 ?</t>
  </si>
  <si>
    <t>3)</t>
  </si>
  <si>
    <t>Kdo je v buňce  B12 ?</t>
  </si>
  <si>
    <t>4)</t>
  </si>
  <si>
    <t>Co je v buňce  D12 ?</t>
  </si>
  <si>
    <t>5)</t>
  </si>
  <si>
    <t>Kdo je v buňce  B14 ?</t>
  </si>
  <si>
    <t>6)</t>
  </si>
  <si>
    <t>Co je v buňce  D9 ?</t>
  </si>
  <si>
    <t>7)</t>
  </si>
  <si>
    <t>V které buňce je Filipův Test 1?</t>
  </si>
  <si>
    <t>8)</t>
  </si>
  <si>
    <t>V které buňce je Cyrilův průměr?</t>
  </si>
  <si>
    <t>9)</t>
  </si>
  <si>
    <t>V kolikátém řádku je Eva?</t>
  </si>
  <si>
    <t>10)</t>
  </si>
  <si>
    <t>Ve kterém sloupci (písmeno) jsou jména žáků?</t>
  </si>
  <si>
    <t>Skóre tohoto úkolu:</t>
  </si>
  <si>
    <t>Úkol 2 – Vzorce s matematickými operátory</t>
  </si>
  <si>
    <t>Do žlutých buněk napiš vzorec (začínající =), který vypočítá daný příklad.</t>
  </si>
  <si>
    <t>Pozor na pořadí operací (závorky)! Pamatuj: * pro násobení, / pro dělení, ^ pro mocninu.</t>
  </si>
  <si>
    <t>Č.</t>
  </si>
  <si>
    <t>Slovní zadání</t>
  </si>
  <si>
    <t>Výsledek</t>
  </si>
  <si>
    <t>a)</t>
  </si>
  <si>
    <t>Sečti čísla 145 a 287</t>
  </si>
  <si>
    <t>b)</t>
  </si>
  <si>
    <t>Od 1000 odečti 437</t>
  </si>
  <si>
    <t>c)</t>
  </si>
  <si>
    <t>Vynásob 17 a 23</t>
  </si>
  <si>
    <t>d)</t>
  </si>
  <si>
    <t>Vyděl 1024 číslem 16</t>
  </si>
  <si>
    <t>e)</t>
  </si>
  <si>
    <t>Spočítej (45 + 55) × 8</t>
  </si>
  <si>
    <t>f)</t>
  </si>
  <si>
    <t>Spočítej 2^10 (dvě na desátou)</t>
  </si>
  <si>
    <t>g)</t>
  </si>
  <si>
    <t>Spočítej (250 - 50) ÷ (2 + 8)</t>
  </si>
  <si>
    <t>h)</t>
  </si>
  <si>
    <t>Kolik minut má 7 hodin a 35 minut?</t>
  </si>
  <si>
    <t>i)</t>
  </si>
  <si>
    <t>Spočítej 12² + 5² (mocniny)</t>
  </si>
  <si>
    <t>j)</t>
  </si>
  <si>
    <t>Kolik je 365 × 24 × 60? (minut v roce)</t>
  </si>
  <si>
    <t>k)</t>
  </si>
  <si>
    <t>Kolik je polovina ze 3/4 čísla 800?  (800 × 3 ÷ 4 ÷ 2)</t>
  </si>
  <si>
    <t>l)</t>
  </si>
  <si>
    <t>Cena 12 sešitů po 38 Kč mínus sleva 50 Kč</t>
  </si>
  <si>
    <t>Úkol 3 – Vzorce s odkazy na buňky</t>
  </si>
  <si>
    <t>Spočítej parametry tří aut. Použij vzorce s ADRESAMI BUNĚK (ne s čísly).</t>
  </si>
  <si>
    <t>Vzorec by měl být napsán tak, aby fungoval, i kdybychom změnili hodnoty v tabulce.</t>
  </si>
  <si>
    <t>Auto</t>
  </si>
  <si>
    <t>Spotřeba (l/100km)</t>
  </si>
  <si>
    <t>Cena paliva (Kč/l)</t>
  </si>
  <si>
    <t>Vzdálenost (km)</t>
  </si>
  <si>
    <t>Škoda Octavia</t>
  </si>
  <si>
    <t>Toyota Yaris</t>
  </si>
  <si>
    <t>VW Passat</t>
  </si>
  <si>
    <t>Vyplň žluté buňky vzorci s odkazy:</t>
  </si>
  <si>
    <t>Co spočítat?</t>
  </si>
  <si>
    <t>Pro auto</t>
  </si>
  <si>
    <t>Tvůj vzorec</t>
  </si>
  <si>
    <t>Kolik litrů paliva spotřebuje?  (spotřeba × vzdálenost ÷ 100)</t>
  </si>
  <si>
    <t>Kolik litrů paliva spotřebuje?</t>
  </si>
  <si>
    <t>Kolik bude stát palivo?  (spotřeba × cena × vzdálenost ÷ 100)</t>
  </si>
  <si>
    <t>Kolik bude stát palivo?</t>
  </si>
  <si>
    <t>O kolik km více ujede Passat než Yaris?</t>
  </si>
  <si>
    <t>Passat vs. Yaris</t>
  </si>
  <si>
    <t>Průměrná spotřeba všech tří aut?  (sečti a vyděl 3)</t>
  </si>
  <si>
    <t>všechna</t>
  </si>
  <si>
    <t>Kolik korun stojí 1 km u Octavie?  (spotřeba × cena ÷ 100)</t>
  </si>
  <si>
    <t>Kolik korun stojí 1 km u Yarisu?</t>
  </si>
  <si>
    <t>🌟  Bonus:</t>
  </si>
  <si>
    <t>Změň cenu paliva u Octavie na 45 Kč/l. Co se stalo s cenou paliva za cestu?</t>
  </si>
  <si>
    <t>Tvoje pozorování:</t>
  </si>
  <si>
    <t>Úkol 4 – Funkce SUMA na různá data</t>
  </si>
  <si>
    <t>Sčítej různé skupiny dat pomocí funkce SUMA. Pozor na správný rozsah!</t>
  </si>
  <si>
    <t>Prodej v kavárně - 2 týdny:</t>
  </si>
  <si>
    <t>Spočítej:</t>
  </si>
  <si>
    <t>Den</t>
  </si>
  <si>
    <t>Káva (Kč)</t>
  </si>
  <si>
    <t>Pečivo (Kč)</t>
  </si>
  <si>
    <t>Nealko (Kč)</t>
  </si>
  <si>
    <t>1. týden - Po</t>
  </si>
  <si>
    <t>Celkem za kávu (oba týdny):</t>
  </si>
  <si>
    <t>Út</t>
  </si>
  <si>
    <t>Celkem za pečivo (oba týdny):</t>
  </si>
  <si>
    <t>St</t>
  </si>
  <si>
    <t>Celkem za nealko (oba týdny):</t>
  </si>
  <si>
    <t>Čt</t>
  </si>
  <si>
    <t>Celkem za 1. týden (Po-Ne):</t>
  </si>
  <si>
    <t>Pá</t>
  </si>
  <si>
    <t>Celkem za 2. týden (Po-Ne):</t>
  </si>
  <si>
    <t>So</t>
  </si>
  <si>
    <t>Tržba o víkendech 1. týdne:</t>
  </si>
  <si>
    <t>Ne</t>
  </si>
  <si>
    <t>Tržba o víkendech 2. týdne:</t>
  </si>
  <si>
    <t>2. týden - Po</t>
  </si>
  <si>
    <t>Tržba pondělky obou týdnů (káva):</t>
  </si>
  <si>
    <t>Úkol 5 – Statistické funkce v praxi</t>
  </si>
  <si>
    <t>Analyzuj údaje o teplotách v ČR za měsíc (poslední kalendářní 2 týdny).</t>
  </si>
  <si>
    <t>Použij funkce SUMA, PRŮMĚR, MAX, MIN, POČET. Pozor na rozsahy!</t>
  </si>
  <si>
    <t>Praha (°C)</t>
  </si>
  <si>
    <t>Brno (°C)</t>
  </si>
  <si>
    <t>Ostrava (°C)</t>
  </si>
  <si>
    <t>Plzeň (°C)</t>
  </si>
  <si>
    <t>Pondělí</t>
  </si>
  <si>
    <t>Úterý</t>
  </si>
  <si>
    <t>Středa</t>
  </si>
  <si>
    <t>Čtvrtek</t>
  </si>
  <si>
    <t>Pátek</t>
  </si>
  <si>
    <t>Sobota</t>
  </si>
  <si>
    <t>Neděle</t>
  </si>
  <si>
    <t>Vypočítej:</t>
  </si>
  <si>
    <t>Otázka</t>
  </si>
  <si>
    <t>Průměrná teplota v Praze za týden</t>
  </si>
  <si>
    <t>Nejvyšší teplota v Brně</t>
  </si>
  <si>
    <t>Nejnižší teplota v Ostravě</t>
  </si>
  <si>
    <t>Průměrná teplota v Plzni</t>
  </si>
  <si>
    <t>Nejvyšší teplota celkem (všechna města, všechny dny)</t>
  </si>
  <si>
    <t>Nejnižší teplota celkem</t>
  </si>
  <si>
    <t>Kolik měření celkem máme? (počet všech čísel)</t>
  </si>
  <si>
    <t>Průměrná teplota ve čtvrtek (všechna města)</t>
  </si>
  <si>
    <t>Rozdíl mezi nejvyšší a nejnižší teplotou v Praze</t>
  </si>
  <si>
    <t>Součet všech průměrů přes všechny dny v Brně</t>
  </si>
  <si>
    <t>Úkol 6 – Komplexní úloha: Sportovní klub</t>
  </si>
  <si>
    <t>Spravuješ atletický klub. Tabulka ukazuje výsledky 8 závodníků v 5 disciplínách.</t>
  </si>
  <si>
    <t>Použij vzorce a funkce z předchozích úkolů a zodpověz otázky.</t>
  </si>
  <si>
    <t>Závodník</t>
  </si>
  <si>
    <t>Sprint 100m (s)</t>
  </si>
  <si>
    <t>Skok daleký (m)</t>
  </si>
  <si>
    <t>Vrh koulí (m)</t>
  </si>
  <si>
    <t>Skok vysoký (m)</t>
  </si>
  <si>
    <t>Běh 1500m (s)</t>
  </si>
  <si>
    <t>Beneš</t>
  </si>
  <si>
    <t>Černý</t>
  </si>
  <si>
    <t>Dvořák</t>
  </si>
  <si>
    <t>Hájek</t>
  </si>
  <si>
    <t>Kovář</t>
  </si>
  <si>
    <t>Novák</t>
  </si>
  <si>
    <t>Procházka</t>
  </si>
  <si>
    <t>Šimek</t>
  </si>
  <si>
    <t>Tvůj vzorec / odpověď</t>
  </si>
  <si>
    <t>Průměrný čas v běhu na 100m</t>
  </si>
  <si>
    <t>Nejlepší (nejkratší) čas v běhu na 100m</t>
  </si>
  <si>
    <t>Nejdelší skok daleký</t>
  </si>
  <si>
    <t>Průměrný výkon ve vrhu koulí</t>
  </si>
  <si>
    <t>Rozdíl nejlepšího a nejhoršího skoku do výšky</t>
  </si>
  <si>
    <t>Součet všech časů v běhu na 1500m</t>
  </si>
  <si>
    <t>Průměrný čas na 1500m (jen Beneš, Dvořák, Procházka)</t>
  </si>
  <si>
    <t>Kolik závodníků máme celkem? (počet)</t>
  </si>
  <si>
    <t>🤔  Otázka k zamyšlení:</t>
  </si>
  <si>
    <t>Který z těchto závodníků by byl podle tebe nejlepší ve víceboji a proč?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</si>
</sst>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20"/>
      <color rgb="FF006666"/>
      <name val="Calibri"/>
      <charset val="1"/>
    </font>
    <font>
      <i/>
      <sz val="11"/>
      <color rgb="FF5A6B7A"/>
      <name val="Calibri"/>
      <charset val="1"/>
    </font>
    <font>
      <b/>
      <sz val="12"/>
      <name val="Calibri"/>
      <charset val="1"/>
    </font>
    <font>
      <b/>
      <sz val="14"/>
      <color rgb="FF006666"/>
      <name val="Calibri"/>
      <charset val="1"/>
    </font>
    <font>
      <b/>
      <sz val="12"/>
      <color rgb="FF008B8B"/>
      <name val="Calibri"/>
      <charset val="1"/>
    </font>
    <font>
      <sz val="11"/>
      <name val="Calibri"/>
      <charset val="1"/>
    </font>
    <font>
      <b/>
      <sz val="11"/>
      <color rgb="FF006666"/>
      <name val="Calibri"/>
      <charset val="1"/>
    </font>
    <font>
      <b/>
      <sz val="11"/>
      <name val="Calibri"/>
      <charset val="1"/>
    </font>
    <font>
      <b/>
      <sz val="11"/>
      <name val="Cambria"/>
      <charset val="1"/>
    </font>
    <font>
      <sz val="1"/>
      <color rgb="FFFFFFFF"/>
      <name val="Cambria"/>
      <charset val="1"/>
    </font>
    <font>
      <b/>
      <sz val="18"/>
      <color rgb="FF006666"/>
      <name val="Calibri"/>
      <charset val="1"/>
    </font>
    <font>
      <b/>
      <sz val="11"/>
      <color rgb="FFB33A3A"/>
      <name val="Calibri"/>
      <charset val="1"/>
    </font>
    <font>
      <b/>
      <sz val="12"/>
      <color rgb="FFFFFFFF"/>
      <name val="Calibri"/>
      <charset val="1"/>
    </font>
    <font>
      <b/>
      <sz val="12"/>
      <color rgb="FF006666"/>
      <name val="Calibri"/>
      <charset val="1"/>
    </font>
    <font>
      <sz val="11"/>
      <color rgb="FF333333"/>
      <name val="Calibri"/>
      <charset val="1"/>
    </font>
    <font>
      <b/>
      <sz val="14"/>
      <name val="Calibri"/>
      <charset val="1"/>
    </font>
    <font>
      <i/>
      <sz val="10"/>
      <color rgb="FF8B6914"/>
      <name val="Calibri"/>
      <charset val="1"/>
    </font>
    <font>
      <sz val="10"/>
      <name val="Calibri"/>
      <charset val="1"/>
    </font>
    <font>
      <i/>
      <sz val="10"/>
      <name val="Calibri"/>
      <charset val="1"/>
    </font>
    <font>
      <b/>
      <sz val="12"/>
      <color rgb="FF8B6914"/>
      <name val="Calibri"/>
      <charset val="1"/>
    </font>
    <font>
      <sz val="10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FFFACD"/>
        <bgColor rgb="FFFFF8DC"/>
      </patternFill>
    </fill>
    <fill>
      <patternFill patternType="solid">
        <fgColor rgb="FFE8F8F8"/>
        <bgColor rgb="FFFFFFFF"/>
      </patternFill>
    </fill>
    <fill>
      <patternFill patternType="solid">
        <fgColor rgb="FFFFF8DC"/>
        <bgColor rgb="FFFFFACD"/>
      </patternFill>
    </fill>
    <fill>
      <patternFill patternType="solid">
        <fgColor rgb="FF008B8B"/>
        <bgColor rgb="FF006666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4" fillId="0" borderId="0" xfId="0" applyFont="1"/>
    <xf numFmtId="0" fontId="18" fillId="0" borderId="1" xfId="0" applyFont="1" applyBorder="1" applyAlignment="1">
      <alignment horizontal="left" vertical="center" indent="1"/>
    </xf>
    <xf numFmtId="0" fontId="0" fillId="2" borderId="1" xfId="0" applyFill="1" applyBorder="1" applyAlignment="1">
      <alignment horizontal="left" vertical="top" wrapText="1" indent="1"/>
    </xf>
    <xf numFmtId="0" fontId="17" fillId="0" borderId="0" xfId="0" applyFont="1"/>
    <xf numFmtId="0" fontId="12" fillId="4" borderId="0" xfId="0" applyFont="1" applyFill="1"/>
    <xf numFmtId="0" fontId="11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0" fillId="2" borderId="1" xfId="0" applyFill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3" fontId="0" fillId="0" borderId="1" xfId="0" applyNumberFormat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</cellXfs>
  <cellStyles count="1">
    <cellStyle name="Normální" xfId="0" builtinId="0"/>
  </cellStyles>
  <dxfs count="12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B8B"/>
      <rgbColor rgb="FFC0C0C0"/>
      <rgbColor rgb="FF888888"/>
      <rgbColor rgb="FF9999FF"/>
      <rgbColor rgb="FFB33A3A"/>
      <rgbColor rgb="FFFFFACD"/>
      <rgbColor rgb="FFE8F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6EFCE"/>
      <rgbColor rgb="FFFFF8D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6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10" customWidth="1"/>
    <col min="3" max="3" width="22" customWidth="1"/>
    <col min="4" max="4" width="14" customWidth="1"/>
    <col min="5" max="8" width="12" customWidth="1"/>
  </cols>
  <sheetData>
    <row r="2" spans="2:8" ht="24" customHeight="1" x14ac:dyDescent="0.6">
      <c r="B2" s="12" t="s">
        <v>0</v>
      </c>
      <c r="C2" s="12"/>
      <c r="D2" s="12"/>
      <c r="E2" s="12"/>
      <c r="F2" s="12"/>
      <c r="G2" s="12"/>
      <c r="H2" s="12"/>
    </row>
    <row r="3" spans="2:8" ht="15" customHeight="1" x14ac:dyDescent="0.35">
      <c r="B3" s="11" t="s">
        <v>1</v>
      </c>
      <c r="C3" s="11"/>
      <c r="D3" s="11"/>
      <c r="E3" s="11"/>
      <c r="F3" s="11"/>
      <c r="G3" s="11"/>
      <c r="H3" s="11"/>
    </row>
    <row r="5" spans="2:8" ht="15" customHeight="1" x14ac:dyDescent="0.35">
      <c r="B5" s="13" t="s">
        <v>2</v>
      </c>
      <c r="C5" s="10"/>
      <c r="D5" s="10"/>
      <c r="E5" s="10"/>
      <c r="F5" s="10"/>
    </row>
    <row r="6" spans="2:8" ht="15" customHeight="1" x14ac:dyDescent="0.35">
      <c r="B6" s="13" t="s">
        <v>3</v>
      </c>
      <c r="C6" s="10"/>
      <c r="D6" s="10"/>
      <c r="E6" s="10"/>
      <c r="F6" s="10"/>
    </row>
    <row r="8" spans="2:8" ht="17.25" customHeight="1" x14ac:dyDescent="0.45">
      <c r="B8" s="14" t="s">
        <v>4</v>
      </c>
    </row>
    <row r="10" spans="2:8" ht="15" customHeight="1" x14ac:dyDescent="0.35">
      <c r="B10" s="15" t="s">
        <v>5</v>
      </c>
      <c r="C10" s="9" t="s">
        <v>6</v>
      </c>
      <c r="D10" s="9"/>
      <c r="E10" s="9"/>
      <c r="F10" s="9"/>
      <c r="G10" s="9"/>
      <c r="H10" s="9"/>
    </row>
    <row r="11" spans="2:8" ht="15" customHeight="1" x14ac:dyDescent="0.35">
      <c r="B11" s="15" t="s">
        <v>7</v>
      </c>
      <c r="C11" s="9" t="s">
        <v>8</v>
      </c>
      <c r="D11" s="9"/>
      <c r="E11" s="9"/>
      <c r="F11" s="9"/>
      <c r="G11" s="9"/>
      <c r="H11" s="9"/>
    </row>
    <row r="12" spans="2:8" ht="15" customHeight="1" x14ac:dyDescent="0.35">
      <c r="B12" s="15" t="s">
        <v>9</v>
      </c>
      <c r="C12" s="9" t="s">
        <v>10</v>
      </c>
      <c r="D12" s="9"/>
      <c r="E12" s="9"/>
      <c r="F12" s="9"/>
      <c r="G12" s="9"/>
      <c r="H12" s="9"/>
    </row>
    <row r="13" spans="2:8" ht="15" customHeight="1" x14ac:dyDescent="0.35">
      <c r="B13" s="15" t="s">
        <v>11</v>
      </c>
      <c r="C13" s="9" t="s">
        <v>12</v>
      </c>
      <c r="D13" s="9"/>
      <c r="E13" s="9"/>
      <c r="F13" s="9"/>
      <c r="G13" s="9"/>
      <c r="H13" s="9"/>
    </row>
    <row r="14" spans="2:8" ht="15" customHeight="1" x14ac:dyDescent="0.35">
      <c r="B14" s="15" t="s">
        <v>13</v>
      </c>
      <c r="C14" s="9" t="s">
        <v>14</v>
      </c>
      <c r="D14" s="9"/>
      <c r="E14" s="9"/>
      <c r="F14" s="9"/>
      <c r="G14" s="9"/>
      <c r="H14" s="9"/>
    </row>
    <row r="15" spans="2:8" ht="15" customHeight="1" x14ac:dyDescent="0.35">
      <c r="B15" s="15" t="s">
        <v>15</v>
      </c>
      <c r="C15" s="9" t="s">
        <v>16</v>
      </c>
      <c r="D15" s="9"/>
      <c r="E15" s="9"/>
      <c r="F15" s="9"/>
      <c r="G15" s="9"/>
      <c r="H15" s="9"/>
    </row>
    <row r="17" spans="2:8" ht="17.25" customHeight="1" x14ac:dyDescent="0.45">
      <c r="B17" s="14" t="s">
        <v>17</v>
      </c>
    </row>
    <row r="19" spans="2:8" ht="15" customHeight="1" x14ac:dyDescent="0.35">
      <c r="B19" s="16" t="s">
        <v>18</v>
      </c>
      <c r="C19" s="17" t="s">
        <v>19</v>
      </c>
      <c r="D19" s="9" t="s">
        <v>20</v>
      </c>
      <c r="E19" s="9"/>
      <c r="F19" s="9"/>
      <c r="G19" s="9"/>
      <c r="H19" s="9"/>
    </row>
    <row r="20" spans="2:8" ht="15" customHeight="1" x14ac:dyDescent="0.35">
      <c r="B20" s="16" t="s">
        <v>21</v>
      </c>
      <c r="C20" s="17" t="s">
        <v>22</v>
      </c>
      <c r="D20" s="9" t="s">
        <v>23</v>
      </c>
      <c r="E20" s="9"/>
      <c r="F20" s="9"/>
      <c r="G20" s="9"/>
      <c r="H20" s="9"/>
    </row>
    <row r="21" spans="2:8" ht="15" customHeight="1" x14ac:dyDescent="0.35">
      <c r="B21" s="16" t="s">
        <v>24</v>
      </c>
      <c r="C21" s="17" t="s">
        <v>25</v>
      </c>
      <c r="D21" s="9" t="s">
        <v>26</v>
      </c>
      <c r="E21" s="9"/>
      <c r="F21" s="9"/>
      <c r="G21" s="9"/>
      <c r="H21" s="9"/>
    </row>
    <row r="22" spans="2:8" ht="15" customHeight="1" x14ac:dyDescent="0.35">
      <c r="B22" s="16" t="s">
        <v>27</v>
      </c>
      <c r="C22" s="17" t="s">
        <v>28</v>
      </c>
      <c r="D22" s="9" t="s">
        <v>29</v>
      </c>
      <c r="E22" s="9"/>
      <c r="F22" s="9"/>
      <c r="G22" s="9"/>
      <c r="H22" s="9"/>
    </row>
    <row r="23" spans="2:8" ht="15" customHeight="1" x14ac:dyDescent="0.35">
      <c r="B23" s="16" t="s">
        <v>30</v>
      </c>
      <c r="C23" s="17" t="s">
        <v>31</v>
      </c>
      <c r="D23" s="9" t="s">
        <v>32</v>
      </c>
      <c r="E23" s="9"/>
      <c r="F23" s="9"/>
      <c r="G23" s="9"/>
      <c r="H23" s="9"/>
    </row>
    <row r="24" spans="2:8" ht="15" customHeight="1" x14ac:dyDescent="0.35">
      <c r="B24" s="16" t="s">
        <v>33</v>
      </c>
      <c r="C24" s="17" t="s">
        <v>34</v>
      </c>
      <c r="D24" s="9" t="s">
        <v>35</v>
      </c>
      <c r="E24" s="9"/>
      <c r="F24" s="9"/>
      <c r="G24" s="9"/>
      <c r="H24" s="9"/>
    </row>
    <row r="27" spans="2:8" ht="17.25" customHeight="1" x14ac:dyDescent="0.45">
      <c r="B27" s="8" t="s">
        <v>36</v>
      </c>
      <c r="C27" s="8"/>
      <c r="D27" s="8"/>
      <c r="E27" s="7" t="str">
        <f>SUM('Úkol 1'!AB1,'Úkol 2'!AB1,'Úkol 3'!AB1,'Úkol 4'!AB1,'Úkol 5'!AB1,'Úkol 6'!AB1) &amp; " / " &amp; SUM('Úkol 1'!AB2,'Úkol 2'!AB2,'Úkol 3'!AB2,'Úkol 4'!AB2,'Úkol 5'!AB2,'Úkol 6'!AB2)</f>
        <v>17 / 56</v>
      </c>
      <c r="F27" s="7"/>
      <c r="G27" s="7"/>
      <c r="H27" s="7"/>
    </row>
  </sheetData>
  <mergeCells count="18">
    <mergeCell ref="D24:H24"/>
    <mergeCell ref="B27:D27"/>
    <mergeCell ref="E27:H27"/>
    <mergeCell ref="D19:H19"/>
    <mergeCell ref="D20:H20"/>
    <mergeCell ref="D21:H21"/>
    <mergeCell ref="D22:H22"/>
    <mergeCell ref="D23:H23"/>
    <mergeCell ref="C11:H11"/>
    <mergeCell ref="C12:H12"/>
    <mergeCell ref="C13:H13"/>
    <mergeCell ref="C14:H14"/>
    <mergeCell ref="C15:H15"/>
    <mergeCell ref="B2:H2"/>
    <mergeCell ref="B3:H3"/>
    <mergeCell ref="C5:F5"/>
    <mergeCell ref="C6:F6"/>
    <mergeCell ref="C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7"/>
  <sheetViews>
    <sheetView zoomScaleNormal="100" workbookViewId="0"/>
  </sheetViews>
  <sheetFormatPr defaultColWidth="8.6328125" defaultRowHeight="14.5" x14ac:dyDescent="0.35"/>
  <sheetData>
    <row r="1" spans="1:1" ht="15" customHeight="1" x14ac:dyDescent="0.35">
      <c r="A1" s="18" t="s">
        <v>37</v>
      </c>
    </row>
    <row r="2" spans="1:1" ht="15" customHeight="1" x14ac:dyDescent="0.35">
      <c r="A2">
        <v>25</v>
      </c>
    </row>
    <row r="3" spans="1:1" ht="15" customHeight="1" x14ac:dyDescent="0.35">
      <c r="A3">
        <v>20</v>
      </c>
    </row>
    <row r="4" spans="1:1" ht="15" customHeight="1" x14ac:dyDescent="0.35">
      <c r="A4" t="s">
        <v>38</v>
      </c>
    </row>
    <row r="5" spans="1:1" ht="15" customHeight="1" x14ac:dyDescent="0.35">
      <c r="A5">
        <v>21</v>
      </c>
    </row>
    <row r="6" spans="1:1" ht="15" customHeight="1" x14ac:dyDescent="0.35">
      <c r="A6" t="s">
        <v>39</v>
      </c>
    </row>
    <row r="7" spans="1:1" ht="15" customHeight="1" x14ac:dyDescent="0.35">
      <c r="A7">
        <v>18</v>
      </c>
    </row>
    <row r="8" spans="1:1" ht="15" customHeight="1" x14ac:dyDescent="0.35">
      <c r="A8" t="s">
        <v>40</v>
      </c>
    </row>
    <row r="9" spans="1:1" ht="15" customHeight="1" x14ac:dyDescent="0.35">
      <c r="A9" t="s">
        <v>41</v>
      </c>
    </row>
    <row r="10" spans="1:1" ht="15" customHeight="1" x14ac:dyDescent="0.35">
      <c r="A10">
        <v>13</v>
      </c>
    </row>
    <row r="11" spans="1:1" ht="15" customHeight="1" x14ac:dyDescent="0.35">
      <c r="A11" t="s">
        <v>42</v>
      </c>
    </row>
    <row r="20" spans="1:1" ht="15" customHeight="1" x14ac:dyDescent="0.35">
      <c r="A20">
        <v>432</v>
      </c>
    </row>
    <row r="21" spans="1:1" ht="15" customHeight="1" x14ac:dyDescent="0.35">
      <c r="A21">
        <v>563</v>
      </c>
    </row>
    <row r="22" spans="1:1" ht="15" customHeight="1" x14ac:dyDescent="0.35">
      <c r="A22">
        <v>391</v>
      </c>
    </row>
    <row r="23" spans="1:1" ht="15" customHeight="1" x14ac:dyDescent="0.35">
      <c r="A23">
        <v>64</v>
      </c>
    </row>
    <row r="24" spans="1:1" ht="15" customHeight="1" x14ac:dyDescent="0.35">
      <c r="A24">
        <v>800</v>
      </c>
    </row>
    <row r="25" spans="1:1" ht="15" customHeight="1" x14ac:dyDescent="0.35">
      <c r="A25">
        <v>1024</v>
      </c>
    </row>
    <row r="26" spans="1:1" ht="15" customHeight="1" x14ac:dyDescent="0.35">
      <c r="A26">
        <v>20</v>
      </c>
    </row>
    <row r="27" spans="1:1" ht="15" customHeight="1" x14ac:dyDescent="0.35">
      <c r="A27">
        <v>455</v>
      </c>
    </row>
    <row r="28" spans="1:1" ht="15" customHeight="1" x14ac:dyDescent="0.35">
      <c r="A28">
        <v>169</v>
      </c>
    </row>
    <row r="29" spans="1:1" ht="15" customHeight="1" x14ac:dyDescent="0.35">
      <c r="A29">
        <v>525600</v>
      </c>
    </row>
    <row r="30" spans="1:1" ht="15" customHeight="1" x14ac:dyDescent="0.35">
      <c r="A30">
        <v>300</v>
      </c>
    </row>
    <row r="31" spans="1:1" ht="15" customHeight="1" x14ac:dyDescent="0.35">
      <c r="A31">
        <v>406</v>
      </c>
    </row>
    <row r="40" spans="1:1" ht="15" customHeight="1" x14ac:dyDescent="0.35">
      <c r="A40">
        <v>29.25</v>
      </c>
    </row>
    <row r="41" spans="1:1" ht="15" customHeight="1" x14ac:dyDescent="0.35">
      <c r="A41">
        <v>16.64</v>
      </c>
    </row>
    <row r="42" spans="1:1" ht="15" customHeight="1" x14ac:dyDescent="0.35">
      <c r="A42">
        <v>1111.5</v>
      </c>
    </row>
    <row r="43" spans="1:1" ht="15" customHeight="1" x14ac:dyDescent="0.35">
      <c r="A43">
        <v>1718.16</v>
      </c>
    </row>
    <row r="44" spans="1:1" ht="15" customHeight="1" x14ac:dyDescent="0.35">
      <c r="A44">
        <v>260</v>
      </c>
    </row>
    <row r="45" spans="1:1" ht="15" customHeight="1" x14ac:dyDescent="0.35">
      <c r="A45">
        <v>6.5</v>
      </c>
    </row>
    <row r="46" spans="1:1" ht="15" customHeight="1" x14ac:dyDescent="0.35">
      <c r="A46">
        <v>2.4700000000000002</v>
      </c>
    </row>
    <row r="47" spans="1:1" ht="15" customHeight="1" x14ac:dyDescent="0.35">
      <c r="A47">
        <v>2.1320000000000001</v>
      </c>
    </row>
    <row r="60" spans="1:1" ht="15" customHeight="1" x14ac:dyDescent="0.35">
      <c r="A60">
        <v>22610</v>
      </c>
    </row>
    <row r="61" spans="1:1" ht="15" customHeight="1" x14ac:dyDescent="0.35">
      <c r="A61">
        <v>10950</v>
      </c>
    </row>
    <row r="62" spans="1:1" ht="15" customHeight="1" x14ac:dyDescent="0.35">
      <c r="A62">
        <v>6040</v>
      </c>
    </row>
    <row r="63" spans="1:1" ht="15" customHeight="1" x14ac:dyDescent="0.35">
      <c r="A63">
        <v>22660</v>
      </c>
    </row>
    <row r="64" spans="1:1" ht="15" customHeight="1" x14ac:dyDescent="0.35">
      <c r="A64">
        <v>16940</v>
      </c>
    </row>
    <row r="65" spans="1:1" ht="15" customHeight="1" x14ac:dyDescent="0.35">
      <c r="A65">
        <v>5760</v>
      </c>
    </row>
    <row r="66" spans="1:1" ht="15" customHeight="1" x14ac:dyDescent="0.35">
      <c r="A66">
        <v>6100</v>
      </c>
    </row>
    <row r="67" spans="1:1" ht="15" customHeight="1" x14ac:dyDescent="0.35">
      <c r="A67">
        <v>2840</v>
      </c>
    </row>
    <row r="80" spans="1:1" ht="15" customHeight="1" x14ac:dyDescent="0.35">
      <c r="A80">
        <v>25.43</v>
      </c>
    </row>
    <row r="81" spans="1:1" ht="15" customHeight="1" x14ac:dyDescent="0.35">
      <c r="A81">
        <v>32</v>
      </c>
    </row>
    <row r="82" spans="1:1" ht="15" customHeight="1" x14ac:dyDescent="0.35">
      <c r="A82">
        <v>18</v>
      </c>
    </row>
    <row r="83" spans="1:1" ht="15" customHeight="1" x14ac:dyDescent="0.35">
      <c r="A83">
        <v>25.57</v>
      </c>
    </row>
    <row r="84" spans="1:1" ht="15" customHeight="1" x14ac:dyDescent="0.35">
      <c r="A84">
        <v>32</v>
      </c>
    </row>
    <row r="85" spans="1:1" ht="15" customHeight="1" x14ac:dyDescent="0.35">
      <c r="A85">
        <v>18</v>
      </c>
    </row>
    <row r="86" spans="1:1" ht="15" customHeight="1" x14ac:dyDescent="0.35">
      <c r="A86">
        <v>28</v>
      </c>
    </row>
    <row r="87" spans="1:1" ht="15" customHeight="1" x14ac:dyDescent="0.35">
      <c r="A87">
        <v>30.75</v>
      </c>
    </row>
    <row r="88" spans="1:1" ht="15" customHeight="1" x14ac:dyDescent="0.35">
      <c r="A88">
        <v>12</v>
      </c>
    </row>
    <row r="89" spans="1:1" ht="15" customHeight="1" x14ac:dyDescent="0.35">
      <c r="A89">
        <v>187</v>
      </c>
    </row>
    <row r="100" spans="1:1" ht="15" customHeight="1" x14ac:dyDescent="0.35">
      <c r="A100">
        <v>11.987500000000001</v>
      </c>
    </row>
    <row r="101" spans="1:1" ht="15" customHeight="1" x14ac:dyDescent="0.35">
      <c r="A101">
        <v>11.5</v>
      </c>
    </row>
    <row r="102" spans="1:1" ht="15" customHeight="1" x14ac:dyDescent="0.35">
      <c r="A102">
        <v>7.1</v>
      </c>
    </row>
    <row r="103" spans="1:1" ht="15" customHeight="1" x14ac:dyDescent="0.35">
      <c r="A103">
        <v>13.074999999999999</v>
      </c>
    </row>
    <row r="104" spans="1:1" ht="15" customHeight="1" x14ac:dyDescent="0.35">
      <c r="A104">
        <v>0.17</v>
      </c>
    </row>
    <row r="105" spans="1:1" ht="15" customHeight="1" x14ac:dyDescent="0.35">
      <c r="A105">
        <v>2343</v>
      </c>
    </row>
    <row r="106" spans="1:1" ht="15" customHeight="1" x14ac:dyDescent="0.35">
      <c r="A106">
        <v>281.67</v>
      </c>
    </row>
    <row r="107" spans="1:1" ht="15" customHeight="1" x14ac:dyDescent="0.35">
      <c r="A107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B28"/>
  <sheetViews>
    <sheetView zoomScaleNormal="100" workbookViewId="0">
      <selection activeCell="G19" sqref="G19"/>
    </sheetView>
  </sheetViews>
  <sheetFormatPr defaultColWidth="8.6328125" defaultRowHeight="14.5" x14ac:dyDescent="0.35"/>
  <cols>
    <col min="1" max="1" width="2" customWidth="1"/>
    <col min="2" max="2" width="6" customWidth="1"/>
    <col min="3" max="3" width="16" customWidth="1"/>
    <col min="4" max="6" width="12" customWidth="1"/>
    <col min="7" max="7" width="14" customWidth="1"/>
    <col min="8" max="8" width="6" customWidth="1"/>
  </cols>
  <sheetData>
    <row r="1" spans="2:28" ht="15" customHeight="1" x14ac:dyDescent="0.35">
      <c r="AB1" s="19">
        <f>COUNTIF(H17:H26,"✓")</f>
        <v>2</v>
      </c>
    </row>
    <row r="2" spans="2:28" ht="21.75" customHeight="1" x14ac:dyDescent="0.55000000000000004">
      <c r="B2" s="6" t="s">
        <v>43</v>
      </c>
      <c r="C2" s="6"/>
      <c r="D2" s="6"/>
      <c r="E2" s="6"/>
      <c r="F2" s="6"/>
      <c r="G2" s="6"/>
      <c r="H2" s="6"/>
      <c r="AB2" s="19">
        <v>10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  <c r="H4" s="5"/>
    </row>
    <row r="5" spans="2:28" ht="15" customHeight="1" x14ac:dyDescent="0.35">
      <c r="B5" s="9" t="s">
        <v>45</v>
      </c>
      <c r="C5" s="9"/>
      <c r="D5" s="9"/>
      <c r="E5" s="9"/>
      <c r="F5" s="9"/>
      <c r="G5" s="9"/>
      <c r="H5" s="9"/>
    </row>
    <row r="6" spans="2:28" ht="15" customHeight="1" x14ac:dyDescent="0.35">
      <c r="B6" s="9" t="s">
        <v>46</v>
      </c>
      <c r="C6" s="9"/>
      <c r="D6" s="9"/>
      <c r="E6" s="9"/>
      <c r="F6" s="9"/>
      <c r="G6" s="9"/>
      <c r="H6" s="9"/>
    </row>
    <row r="8" spans="2:28" ht="15" customHeight="1" x14ac:dyDescent="0.35">
      <c r="B8" s="20" t="s">
        <v>47</v>
      </c>
      <c r="C8" s="20" t="s">
        <v>48</v>
      </c>
      <c r="D8" s="20" t="s">
        <v>49</v>
      </c>
      <c r="E8" s="20" t="s">
        <v>50</v>
      </c>
      <c r="F8" s="20" t="s">
        <v>51</v>
      </c>
    </row>
    <row r="9" spans="2:28" ht="15" customHeight="1" x14ac:dyDescent="0.35">
      <c r="B9" s="21" t="s">
        <v>52</v>
      </c>
      <c r="C9" s="22">
        <v>18</v>
      </c>
      <c r="D9" s="22">
        <v>18</v>
      </c>
      <c r="E9" s="22">
        <v>19</v>
      </c>
      <c r="F9" s="23">
        <f t="shared" ref="F9:F14" si="0">AVERAGE(C9:E9)</f>
        <v>18.333333333333332</v>
      </c>
    </row>
    <row r="10" spans="2:28" ht="15" customHeight="1" x14ac:dyDescent="0.35">
      <c r="B10" s="21" t="s">
        <v>53</v>
      </c>
      <c r="C10" s="22">
        <v>25</v>
      </c>
      <c r="D10" s="22">
        <v>24</v>
      </c>
      <c r="E10" s="22">
        <v>23</v>
      </c>
      <c r="F10" s="23">
        <f t="shared" si="0"/>
        <v>24</v>
      </c>
    </row>
    <row r="11" spans="2:28" ht="15" customHeight="1" x14ac:dyDescent="0.35">
      <c r="B11" s="21" t="s">
        <v>54</v>
      </c>
      <c r="C11" s="22">
        <v>15</v>
      </c>
      <c r="D11" s="22">
        <v>18</v>
      </c>
      <c r="E11" s="22">
        <v>20</v>
      </c>
      <c r="F11" s="23">
        <f t="shared" si="0"/>
        <v>17.666666666666668</v>
      </c>
    </row>
    <row r="12" spans="2:28" ht="15" customHeight="1" x14ac:dyDescent="0.35">
      <c r="B12" s="21" t="s">
        <v>38</v>
      </c>
      <c r="C12" s="22">
        <v>22</v>
      </c>
      <c r="D12" s="22">
        <v>21</v>
      </c>
      <c r="E12" s="22">
        <v>24</v>
      </c>
      <c r="F12" s="23">
        <f t="shared" si="0"/>
        <v>22.333333333333332</v>
      </c>
    </row>
    <row r="13" spans="2:28" ht="15" customHeight="1" x14ac:dyDescent="0.35">
      <c r="B13" s="21" t="s">
        <v>55</v>
      </c>
      <c r="C13" s="22">
        <v>17</v>
      </c>
      <c r="D13" s="22">
        <v>19</v>
      </c>
      <c r="E13" s="22">
        <v>18</v>
      </c>
      <c r="F13" s="23">
        <f t="shared" si="0"/>
        <v>18</v>
      </c>
    </row>
    <row r="14" spans="2:28" ht="15" customHeight="1" x14ac:dyDescent="0.35">
      <c r="B14" s="21" t="s">
        <v>39</v>
      </c>
      <c r="C14" s="22">
        <v>19</v>
      </c>
      <c r="D14" s="22">
        <v>16</v>
      </c>
      <c r="E14" s="22">
        <v>18</v>
      </c>
      <c r="F14" s="23">
        <f t="shared" si="0"/>
        <v>17.666666666666668</v>
      </c>
    </row>
    <row r="16" spans="2:28" ht="15" customHeight="1" x14ac:dyDescent="0.35">
      <c r="B16" s="24" t="s">
        <v>56</v>
      </c>
    </row>
    <row r="17" spans="2:8" ht="17.25" customHeight="1" x14ac:dyDescent="0.35">
      <c r="B17" s="25" t="s">
        <v>57</v>
      </c>
      <c r="C17" s="9" t="s">
        <v>58</v>
      </c>
      <c r="D17" s="9"/>
      <c r="E17" s="9"/>
      <c r="F17" s="9"/>
      <c r="G17" s="26">
        <v>25</v>
      </c>
      <c r="H17" s="27" t="str">
        <f>IF(G17="","",IF(G17=Klíč!A2,"✓","✗"))</f>
        <v>✓</v>
      </c>
    </row>
    <row r="18" spans="2:8" ht="17.25" customHeight="1" x14ac:dyDescent="0.35">
      <c r="B18" s="25" t="s">
        <v>59</v>
      </c>
      <c r="C18" s="9" t="s">
        <v>60</v>
      </c>
      <c r="D18" s="9"/>
      <c r="E18" s="9"/>
      <c r="F18" s="9"/>
      <c r="G18" s="26">
        <v>20</v>
      </c>
      <c r="H18" s="27" t="str">
        <f>IF(G18="","",IF(G18=Klíč!A3,"✓","✗"))</f>
        <v>✓</v>
      </c>
    </row>
    <row r="19" spans="2:8" ht="17.25" customHeight="1" x14ac:dyDescent="0.35">
      <c r="B19" s="25" t="s">
        <v>61</v>
      </c>
      <c r="C19" s="9" t="s">
        <v>62</v>
      </c>
      <c r="D19" s="9"/>
      <c r="E19" s="9"/>
      <c r="F19" s="9"/>
      <c r="G19" s="26"/>
      <c r="H19" s="27" t="str">
        <f>IF(TRIM(LOWER(G19))="","",IF(TRIM(LOWER(G19))=TRIM(LOWER(Klíč!A4)),"✓","✗"))</f>
        <v/>
      </c>
    </row>
    <row r="20" spans="2:8" ht="17.25" customHeight="1" x14ac:dyDescent="0.35">
      <c r="B20" s="25" t="s">
        <v>63</v>
      </c>
      <c r="C20" s="9" t="s">
        <v>64</v>
      </c>
      <c r="D20" s="9"/>
      <c r="E20" s="9"/>
      <c r="F20" s="9"/>
      <c r="G20" s="26"/>
      <c r="H20" s="27" t="str">
        <f>IF(G20="","",IF(G20=Klíč!A5,"✓","✗"))</f>
        <v/>
      </c>
    </row>
    <row r="21" spans="2:8" ht="17.25" customHeight="1" x14ac:dyDescent="0.35">
      <c r="B21" s="25" t="s">
        <v>65</v>
      </c>
      <c r="C21" s="9" t="s">
        <v>66</v>
      </c>
      <c r="D21" s="9"/>
      <c r="E21" s="9"/>
      <c r="F21" s="9"/>
      <c r="G21" s="26"/>
      <c r="H21" s="27" t="str">
        <f>IF(TRIM(LOWER(G21))="","",IF(TRIM(LOWER(G21))=TRIM(LOWER(Klíč!A6)),"✓","✗"))</f>
        <v/>
      </c>
    </row>
    <row r="22" spans="2:8" ht="17.25" customHeight="1" x14ac:dyDescent="0.35">
      <c r="B22" s="25" t="s">
        <v>67</v>
      </c>
      <c r="C22" s="9" t="s">
        <v>68</v>
      </c>
      <c r="D22" s="9"/>
      <c r="E22" s="9"/>
      <c r="F22" s="9"/>
      <c r="G22" s="26"/>
      <c r="H22" s="27" t="str">
        <f>IF(G22="","",IF(G22=Klíč!A7,"✓","✗"))</f>
        <v/>
      </c>
    </row>
    <row r="23" spans="2:8" ht="17.25" customHeight="1" x14ac:dyDescent="0.35">
      <c r="B23" s="25" t="s">
        <v>69</v>
      </c>
      <c r="C23" s="9" t="s">
        <v>70</v>
      </c>
      <c r="D23" s="9"/>
      <c r="E23" s="9"/>
      <c r="F23" s="9"/>
      <c r="G23" s="26"/>
      <c r="H23" s="27" t="str">
        <f>IF(TRIM(LOWER(G23))="","",IF(TRIM(LOWER(G23))=TRIM(LOWER(Klíč!A8)),"✓","✗"))</f>
        <v/>
      </c>
    </row>
    <row r="24" spans="2:8" ht="17.25" customHeight="1" x14ac:dyDescent="0.35">
      <c r="B24" s="25" t="s">
        <v>71</v>
      </c>
      <c r="C24" s="9" t="s">
        <v>72</v>
      </c>
      <c r="D24" s="9"/>
      <c r="E24" s="9"/>
      <c r="F24" s="9"/>
      <c r="G24" s="26"/>
      <c r="H24" s="27" t="str">
        <f>IF(TRIM(LOWER(G24))="","",IF(TRIM(LOWER(G24))=TRIM(LOWER(Klíč!A9)),"✓","✗"))</f>
        <v/>
      </c>
    </row>
    <row r="25" spans="2:8" ht="17.25" customHeight="1" x14ac:dyDescent="0.35">
      <c r="B25" s="25" t="s">
        <v>73</v>
      </c>
      <c r="C25" s="9" t="s">
        <v>74</v>
      </c>
      <c r="D25" s="9"/>
      <c r="E25" s="9"/>
      <c r="F25" s="9"/>
      <c r="G25" s="26"/>
      <c r="H25" s="27" t="str">
        <f>IF(G25="","",IF(G25=Klíč!A10,"✓","✗"))</f>
        <v/>
      </c>
    </row>
    <row r="26" spans="2:8" ht="17.25" customHeight="1" x14ac:dyDescent="0.35">
      <c r="B26" s="25" t="s">
        <v>75</v>
      </c>
      <c r="C26" s="9" t="s">
        <v>76</v>
      </c>
      <c r="D26" s="9"/>
      <c r="E26" s="9"/>
      <c r="F26" s="9"/>
      <c r="G26" s="26"/>
      <c r="H26" s="27" t="str">
        <f>IF(TRIM(LOWER(G26))="","",IF(TRIM(LOWER(G26))=TRIM(LOWER(Klíč!A11)),"✓","✗"))</f>
        <v/>
      </c>
    </row>
    <row r="28" spans="2:8" ht="17.25" customHeight="1" x14ac:dyDescent="0.45">
      <c r="B28" s="8" t="s">
        <v>77</v>
      </c>
      <c r="C28" s="8"/>
      <c r="D28" s="8"/>
      <c r="E28" s="8"/>
      <c r="F28" s="7" t="str">
        <f>AB1 &amp; " / " &amp; AB2 &amp; "  bodů"</f>
        <v>2 / 10  bodů</v>
      </c>
      <c r="G28" s="7"/>
      <c r="H28" s="7"/>
    </row>
  </sheetData>
  <mergeCells count="16">
    <mergeCell ref="C23:F23"/>
    <mergeCell ref="C24:F24"/>
    <mergeCell ref="C25:F25"/>
    <mergeCell ref="C26:F26"/>
    <mergeCell ref="B28:E28"/>
    <mergeCell ref="F28:H28"/>
    <mergeCell ref="C18:F18"/>
    <mergeCell ref="C19:F19"/>
    <mergeCell ref="C20:F20"/>
    <mergeCell ref="C21:F21"/>
    <mergeCell ref="C22:F22"/>
    <mergeCell ref="B2:H2"/>
    <mergeCell ref="B4:H4"/>
    <mergeCell ref="B5:H5"/>
    <mergeCell ref="B6:H6"/>
    <mergeCell ref="C17:F17"/>
  </mergeCells>
  <conditionalFormatting sqref="H17:H26">
    <cfRule type="cellIs" dxfId="11" priority="2" operator="equal">
      <formula>"✓"</formula>
    </cfRule>
    <cfRule type="cellIs" dxfId="1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22"/>
  <sheetViews>
    <sheetView zoomScaleNormal="100" workbookViewId="0">
      <selection activeCell="D20" sqref="D20"/>
    </sheetView>
  </sheetViews>
  <sheetFormatPr defaultColWidth="8.6328125" defaultRowHeight="14.5" x14ac:dyDescent="0.35"/>
  <cols>
    <col min="1" max="1" width="2" customWidth="1"/>
    <col min="2" max="2" width="6" customWidth="1"/>
    <col min="3" max="3" width="50" customWidth="1"/>
    <col min="4" max="4" width="18" customWidth="1"/>
    <col min="5" max="5" width="6" customWidth="1"/>
  </cols>
  <sheetData>
    <row r="1" spans="2:28" ht="15" customHeight="1" x14ac:dyDescent="0.35">
      <c r="AB1" s="19">
        <f>COUNTIF(E9:E20,"✓")</f>
        <v>12</v>
      </c>
    </row>
    <row r="2" spans="2:28" ht="21.75" customHeight="1" x14ac:dyDescent="0.55000000000000004">
      <c r="B2" s="6" t="s">
        <v>78</v>
      </c>
      <c r="C2" s="6"/>
      <c r="D2" s="6"/>
      <c r="E2" s="6"/>
      <c r="F2" s="6"/>
      <c r="G2" s="6"/>
      <c r="AB2" s="19">
        <v>12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</row>
    <row r="5" spans="2:28" ht="15" customHeight="1" x14ac:dyDescent="0.35">
      <c r="B5" s="9" t="s">
        <v>79</v>
      </c>
      <c r="C5" s="9"/>
      <c r="D5" s="9"/>
      <c r="E5" s="9"/>
      <c r="F5" s="9"/>
      <c r="G5" s="9"/>
    </row>
    <row r="6" spans="2:28" ht="15" customHeight="1" x14ac:dyDescent="0.35">
      <c r="B6" s="4" t="s">
        <v>80</v>
      </c>
      <c r="C6" s="4"/>
      <c r="D6" s="4"/>
      <c r="E6" s="4"/>
      <c r="F6" s="4"/>
      <c r="G6" s="4"/>
    </row>
    <row r="8" spans="2:28" ht="15" customHeight="1" x14ac:dyDescent="0.35">
      <c r="B8" s="20" t="s">
        <v>81</v>
      </c>
      <c r="C8" s="20" t="s">
        <v>82</v>
      </c>
      <c r="D8" s="20" t="s">
        <v>83</v>
      </c>
    </row>
    <row r="9" spans="2:28" ht="17.25" customHeight="1" x14ac:dyDescent="0.35">
      <c r="B9" s="28" t="s">
        <v>84</v>
      </c>
      <c r="C9" s="29" t="s">
        <v>85</v>
      </c>
      <c r="D9" s="26">
        <f>145+287</f>
        <v>432</v>
      </c>
      <c r="E9" s="27" t="str">
        <f>IF(D9="","",IF(NOT(_xlfn.ISFORMULA(D9)),"✗",IF(D9=Klíč!A20,"✓","✗")))</f>
        <v>✓</v>
      </c>
    </row>
    <row r="10" spans="2:28" ht="17.25" customHeight="1" x14ac:dyDescent="0.35">
      <c r="B10" s="28" t="s">
        <v>86</v>
      </c>
      <c r="C10" s="29" t="s">
        <v>87</v>
      </c>
      <c r="D10" s="26">
        <f>1000-437</f>
        <v>563</v>
      </c>
      <c r="E10" s="27" t="str">
        <f>IF(D10="","",IF(NOT(_xlfn.ISFORMULA(D10)),"✗",IF(D10=Klíč!A21,"✓","✗")))</f>
        <v>✓</v>
      </c>
    </row>
    <row r="11" spans="2:28" ht="17.25" customHeight="1" x14ac:dyDescent="0.35">
      <c r="B11" s="28" t="s">
        <v>88</v>
      </c>
      <c r="C11" s="29" t="s">
        <v>89</v>
      </c>
      <c r="D11" s="26">
        <f>17*23</f>
        <v>391</v>
      </c>
      <c r="E11" s="27" t="str">
        <f>IF(D11="","",IF(NOT(_xlfn.ISFORMULA(D11)),"✗",IF(D11=Klíč!A22,"✓","✗")))</f>
        <v>✓</v>
      </c>
    </row>
    <row r="12" spans="2:28" ht="17.25" customHeight="1" x14ac:dyDescent="0.35">
      <c r="B12" s="28" t="s">
        <v>90</v>
      </c>
      <c r="C12" s="29" t="s">
        <v>91</v>
      </c>
      <c r="D12" s="26">
        <f>1024/16</f>
        <v>64</v>
      </c>
      <c r="E12" s="27" t="str">
        <f>IF(D12="","",IF(NOT(_xlfn.ISFORMULA(D12)),"✗",IF(D12=Klíč!A23,"✓","✗")))</f>
        <v>✓</v>
      </c>
    </row>
    <row r="13" spans="2:28" ht="17.25" customHeight="1" x14ac:dyDescent="0.35">
      <c r="B13" s="28" t="s">
        <v>92</v>
      </c>
      <c r="C13" s="29" t="s">
        <v>93</v>
      </c>
      <c r="D13" s="26">
        <f>(45+55)*8</f>
        <v>800</v>
      </c>
      <c r="E13" s="27" t="str">
        <f>IF(D13="","",IF(NOT(_xlfn.ISFORMULA(D13)),"✗",IF(D13=Klíč!A24,"✓","✗")))</f>
        <v>✓</v>
      </c>
    </row>
    <row r="14" spans="2:28" ht="17.25" customHeight="1" x14ac:dyDescent="0.35">
      <c r="B14" s="28" t="s">
        <v>94</v>
      </c>
      <c r="C14" s="29" t="s">
        <v>95</v>
      </c>
      <c r="D14" s="26">
        <f>2^10</f>
        <v>1024</v>
      </c>
      <c r="E14" s="27" t="str">
        <f>IF(D14="","",IF(NOT(_xlfn.ISFORMULA(D14)),"✗",IF(D14=Klíč!A25,"✓","✗")))</f>
        <v>✓</v>
      </c>
    </row>
    <row r="15" spans="2:28" ht="17.25" customHeight="1" x14ac:dyDescent="0.35">
      <c r="B15" s="28" t="s">
        <v>96</v>
      </c>
      <c r="C15" s="29" t="s">
        <v>97</v>
      </c>
      <c r="D15" s="26">
        <f>(250-50)/(2+8)</f>
        <v>20</v>
      </c>
      <c r="E15" s="27" t="str">
        <f>IF(D15="","",IF(NOT(_xlfn.ISFORMULA(D15)),"✗",IF(D15=Klíč!A26,"✓","✗")))</f>
        <v>✓</v>
      </c>
    </row>
    <row r="16" spans="2:28" ht="17.25" customHeight="1" x14ac:dyDescent="0.35">
      <c r="B16" s="28" t="s">
        <v>98</v>
      </c>
      <c r="C16" s="29" t="s">
        <v>99</v>
      </c>
      <c r="D16" s="26">
        <f>7*60+35</f>
        <v>455</v>
      </c>
      <c r="E16" s="27" t="str">
        <f>IF(D16="","",IF(NOT(_xlfn.ISFORMULA(D16)),"✗",IF(D16=Klíč!A27,"✓","✗")))</f>
        <v>✓</v>
      </c>
    </row>
    <row r="17" spans="2:5" ht="17.25" customHeight="1" x14ac:dyDescent="0.35">
      <c r="B17" s="28" t="s">
        <v>100</v>
      </c>
      <c r="C17" s="29" t="s">
        <v>101</v>
      </c>
      <c r="D17" s="26">
        <f>12^2+5^2</f>
        <v>169</v>
      </c>
      <c r="E17" s="27" t="str">
        <f>IF(D17="","",IF(NOT(_xlfn.ISFORMULA(D17)),"✗",IF(D17=Klíč!A28,"✓","✗")))</f>
        <v>✓</v>
      </c>
    </row>
    <row r="18" spans="2:5" ht="17.25" customHeight="1" x14ac:dyDescent="0.35">
      <c r="B18" s="28" t="s">
        <v>102</v>
      </c>
      <c r="C18" s="29" t="s">
        <v>103</v>
      </c>
      <c r="D18" s="26">
        <f>365*24*60</f>
        <v>525600</v>
      </c>
      <c r="E18" s="27" t="str">
        <f>IF(D18="","",IF(NOT(_xlfn.ISFORMULA(D18)),"✗",IF(D18=Klíč!A29,"✓","✗")))</f>
        <v>✓</v>
      </c>
    </row>
    <row r="19" spans="2:5" ht="17.25" customHeight="1" x14ac:dyDescent="0.35">
      <c r="B19" s="28" t="s">
        <v>104</v>
      </c>
      <c r="C19" s="29" t="s">
        <v>105</v>
      </c>
      <c r="D19" s="26">
        <f>800*3/4/2</f>
        <v>300</v>
      </c>
      <c r="E19" s="27" t="str">
        <f>IF(D19="","",IF(NOT(_xlfn.ISFORMULA(D19)),"✗",IF(D19=Klíč!A30,"✓","✗")))</f>
        <v>✓</v>
      </c>
    </row>
    <row r="20" spans="2:5" ht="17.25" customHeight="1" x14ac:dyDescent="0.35">
      <c r="B20" s="28" t="s">
        <v>106</v>
      </c>
      <c r="C20" s="29" t="s">
        <v>107</v>
      </c>
      <c r="D20" s="26">
        <f>12*38-50</f>
        <v>406</v>
      </c>
      <c r="E20" s="27" t="str">
        <f>IF(D20="","",IF(NOT(_xlfn.ISFORMULA(D20)),"✗",IF(D20=Klíč!A31,"✓","✗")))</f>
        <v>✓</v>
      </c>
    </row>
    <row r="22" spans="2:5" ht="17.25" customHeight="1" x14ac:dyDescent="0.45">
      <c r="B22" s="8" t="s">
        <v>77</v>
      </c>
      <c r="C22" s="8"/>
      <c r="D22" s="7" t="str">
        <f>AB1 &amp; " / " &amp; AB2 &amp; "  bodů"</f>
        <v>12 / 12  bodů</v>
      </c>
      <c r="E22" s="7"/>
    </row>
  </sheetData>
  <mergeCells count="6">
    <mergeCell ref="B2:G2"/>
    <mergeCell ref="B4:G4"/>
    <mergeCell ref="B5:G5"/>
    <mergeCell ref="B6:G6"/>
    <mergeCell ref="B22:C22"/>
    <mergeCell ref="D22:E22"/>
  </mergeCells>
  <conditionalFormatting sqref="E9:E20">
    <cfRule type="cellIs" dxfId="9" priority="2" operator="equal">
      <formula>"✓"</formula>
    </cfRule>
    <cfRule type="cellIs" dxfId="8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0"/>
  <sheetViews>
    <sheetView zoomScaleNormal="100" workbookViewId="0">
      <selection activeCell="E17" sqref="E17"/>
    </sheetView>
  </sheetViews>
  <sheetFormatPr defaultColWidth="8.6328125" defaultRowHeight="14.5" x14ac:dyDescent="0.35"/>
  <cols>
    <col min="1" max="1" width="2" customWidth="1"/>
    <col min="2" max="2" width="6" customWidth="1"/>
    <col min="3" max="3" width="50" customWidth="1"/>
    <col min="4" max="5" width="16" customWidth="1"/>
    <col min="6" max="6" width="6" customWidth="1"/>
  </cols>
  <sheetData>
    <row r="1" spans="2:28" ht="15" customHeight="1" x14ac:dyDescent="0.35">
      <c r="AB1" s="19">
        <f>COUNTIF(F15:F22,"✓")</f>
        <v>0</v>
      </c>
    </row>
    <row r="2" spans="2:28" ht="21.75" customHeight="1" x14ac:dyDescent="0.55000000000000004">
      <c r="B2" s="6" t="s">
        <v>108</v>
      </c>
      <c r="C2" s="6"/>
      <c r="D2" s="6"/>
      <c r="E2" s="6"/>
      <c r="F2" s="6"/>
      <c r="G2" s="6"/>
      <c r="H2" s="6"/>
      <c r="AB2" s="19">
        <v>8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  <c r="H4" s="5"/>
    </row>
    <row r="5" spans="2:28" ht="15" customHeight="1" x14ac:dyDescent="0.35">
      <c r="B5" s="9" t="s">
        <v>109</v>
      </c>
      <c r="C5" s="9"/>
      <c r="D5" s="9"/>
      <c r="E5" s="9"/>
      <c r="F5" s="9"/>
      <c r="G5" s="9"/>
      <c r="H5" s="9"/>
    </row>
    <row r="6" spans="2:28" ht="15" customHeight="1" x14ac:dyDescent="0.35">
      <c r="B6" s="4" t="s">
        <v>110</v>
      </c>
      <c r="C6" s="4"/>
      <c r="D6" s="4"/>
      <c r="E6" s="4"/>
      <c r="F6" s="4"/>
      <c r="G6" s="4"/>
      <c r="H6" s="4"/>
    </row>
    <row r="8" spans="2:28" ht="15" customHeight="1" x14ac:dyDescent="0.35">
      <c r="B8" s="20" t="s">
        <v>111</v>
      </c>
      <c r="C8" s="20" t="s">
        <v>112</v>
      </c>
      <c r="D8" s="20" t="s">
        <v>113</v>
      </c>
      <c r="E8" s="20" t="s">
        <v>114</v>
      </c>
    </row>
    <row r="9" spans="2:28" ht="15" customHeight="1" x14ac:dyDescent="0.35">
      <c r="B9" s="21" t="s">
        <v>115</v>
      </c>
      <c r="C9" s="22">
        <v>6.5</v>
      </c>
      <c r="D9" s="22">
        <v>38</v>
      </c>
      <c r="E9" s="22">
        <v>450</v>
      </c>
    </row>
    <row r="10" spans="2:28" ht="15" customHeight="1" x14ac:dyDescent="0.35">
      <c r="B10" s="21" t="s">
        <v>116</v>
      </c>
      <c r="C10" s="22">
        <v>5.2</v>
      </c>
      <c r="D10" s="22">
        <v>41</v>
      </c>
      <c r="E10" s="22">
        <v>320</v>
      </c>
    </row>
    <row r="11" spans="2:28" ht="15" customHeight="1" x14ac:dyDescent="0.35">
      <c r="B11" s="21" t="s">
        <v>117</v>
      </c>
      <c r="C11" s="22">
        <v>7.8</v>
      </c>
      <c r="D11" s="22">
        <v>38</v>
      </c>
      <c r="E11" s="22">
        <v>580</v>
      </c>
    </row>
    <row r="13" spans="2:28" ht="15" customHeight="1" x14ac:dyDescent="0.35">
      <c r="B13" s="24" t="s">
        <v>118</v>
      </c>
    </row>
    <row r="14" spans="2:28" ht="15" customHeight="1" x14ac:dyDescent="0.35">
      <c r="B14" s="20" t="s">
        <v>81</v>
      </c>
      <c r="C14" s="20" t="s">
        <v>119</v>
      </c>
      <c r="D14" s="20" t="s">
        <v>120</v>
      </c>
      <c r="E14" s="20" t="s">
        <v>121</v>
      </c>
    </row>
    <row r="15" spans="2:28" ht="17.25" customHeight="1" x14ac:dyDescent="0.35">
      <c r="B15" s="28" t="s">
        <v>84</v>
      </c>
      <c r="C15" s="30" t="s">
        <v>122</v>
      </c>
      <c r="D15" s="31" t="s">
        <v>115</v>
      </c>
      <c r="E15" s="26">
        <v>29.25</v>
      </c>
      <c r="F15" s="27" t="str">
        <f>IF(E15="","",IF(NOT(_xlfn.ISFORMULA(E15)),"✗",IF(ROUND(E15,2)=ROUND(Klíč!A40,2),"✓","✗")))</f>
        <v>✗</v>
      </c>
    </row>
    <row r="16" spans="2:28" ht="17.25" customHeight="1" x14ac:dyDescent="0.35">
      <c r="B16" s="28" t="s">
        <v>86</v>
      </c>
      <c r="C16" s="30" t="s">
        <v>123</v>
      </c>
      <c r="D16" s="31" t="s">
        <v>116</v>
      </c>
      <c r="E16" s="26">
        <v>16.64</v>
      </c>
      <c r="F16" s="27" t="str">
        <f>IF(E16="","",IF(NOT(_xlfn.ISFORMULA(E16)),"✗",IF(ROUND(E16,2)=ROUND(Klíč!A41,2),"✓","✗")))</f>
        <v>✗</v>
      </c>
    </row>
    <row r="17" spans="2:8" ht="17.25" customHeight="1" x14ac:dyDescent="0.35">
      <c r="B17" s="28" t="s">
        <v>88</v>
      </c>
      <c r="C17" s="30" t="s">
        <v>124</v>
      </c>
      <c r="D17" s="31" t="s">
        <v>115</v>
      </c>
      <c r="E17" s="26"/>
      <c r="F17" s="27" t="str">
        <f>IF(E17="","",IF(NOT(_xlfn.ISFORMULA(E17)),"✗",IF(ROUND(E17,2)=ROUND(Klíč!A42,2),"✓","✗")))</f>
        <v/>
      </c>
    </row>
    <row r="18" spans="2:8" ht="17.25" customHeight="1" x14ac:dyDescent="0.35">
      <c r="B18" s="28" t="s">
        <v>90</v>
      </c>
      <c r="C18" s="30" t="s">
        <v>125</v>
      </c>
      <c r="D18" s="31" t="s">
        <v>117</v>
      </c>
      <c r="E18" s="26"/>
      <c r="F18" s="27" t="str">
        <f>IF(E18="","",IF(NOT(_xlfn.ISFORMULA(E18)),"✗",IF(ROUND(E18,2)=ROUND(Klíč!A43,2),"✓","✗")))</f>
        <v/>
      </c>
    </row>
    <row r="19" spans="2:8" ht="17.25" customHeight="1" x14ac:dyDescent="0.35">
      <c r="B19" s="28" t="s">
        <v>92</v>
      </c>
      <c r="C19" s="30" t="s">
        <v>126</v>
      </c>
      <c r="D19" s="31" t="s">
        <v>127</v>
      </c>
      <c r="E19" s="26"/>
      <c r="F19" s="27" t="str">
        <f>IF(E19="","",IF(NOT(_xlfn.ISFORMULA(E19)),"✗",IF(ROUND(E19,2)=ROUND(Klíč!A44,2),"✓","✗")))</f>
        <v/>
      </c>
    </row>
    <row r="20" spans="2:8" ht="17.25" customHeight="1" x14ac:dyDescent="0.35">
      <c r="B20" s="28" t="s">
        <v>94</v>
      </c>
      <c r="C20" s="30" t="s">
        <v>128</v>
      </c>
      <c r="D20" s="31" t="s">
        <v>129</v>
      </c>
      <c r="E20" s="26"/>
      <c r="F20" s="27" t="str">
        <f>IF(E20="","",IF(NOT(_xlfn.ISFORMULA(E20)),"✗",IF(ROUND(E20,2)=ROUND(Klíč!A45,2),"✓","✗")))</f>
        <v/>
      </c>
    </row>
    <row r="21" spans="2:8" ht="17.25" customHeight="1" x14ac:dyDescent="0.35">
      <c r="B21" s="28" t="s">
        <v>96</v>
      </c>
      <c r="C21" s="30" t="s">
        <v>130</v>
      </c>
      <c r="D21" s="31" t="s">
        <v>115</v>
      </c>
      <c r="E21" s="26"/>
      <c r="F21" s="27" t="str">
        <f>IF(E21="","",IF(NOT(_xlfn.ISFORMULA(E21)),"✗",IF(ROUND(E21,2)=ROUND(Klíč!A46,2),"✓","✗")))</f>
        <v/>
      </c>
    </row>
    <row r="22" spans="2:8" ht="17.25" customHeight="1" x14ac:dyDescent="0.35">
      <c r="B22" s="28" t="s">
        <v>98</v>
      </c>
      <c r="C22" s="30" t="s">
        <v>131</v>
      </c>
      <c r="D22" s="31" t="s">
        <v>116</v>
      </c>
      <c r="E22" s="26"/>
      <c r="F22" s="27" t="str">
        <f>IF(E22="","",IF(NOT(_xlfn.ISFORMULA(E22)),"✗",IF(ROUND(E22,2)=ROUND(Klíč!A47,2),"✓","✗")))</f>
        <v/>
      </c>
    </row>
    <row r="24" spans="2:8" ht="15" customHeight="1" x14ac:dyDescent="0.35">
      <c r="B24" s="32" t="s">
        <v>132</v>
      </c>
    </row>
    <row r="25" spans="2:8" ht="15" customHeight="1" x14ac:dyDescent="0.35">
      <c r="B25" s="9" t="s">
        <v>133</v>
      </c>
      <c r="C25" s="9"/>
      <c r="D25" s="9"/>
      <c r="E25" s="9"/>
      <c r="F25" s="9"/>
      <c r="G25" s="9"/>
      <c r="H25" s="9"/>
    </row>
    <row r="26" spans="2:8" ht="15" customHeight="1" x14ac:dyDescent="0.35">
      <c r="B26" s="17" t="s">
        <v>134</v>
      </c>
    </row>
    <row r="27" spans="2:8" ht="19.5" customHeight="1" x14ac:dyDescent="0.35">
      <c r="B27" s="3"/>
      <c r="C27" s="3"/>
      <c r="D27" s="3"/>
      <c r="E27" s="3"/>
      <c r="F27" s="3"/>
      <c r="G27" s="3"/>
      <c r="H27" s="3"/>
    </row>
    <row r="28" spans="2:8" ht="19.5" customHeight="1" x14ac:dyDescent="0.35">
      <c r="B28" s="3"/>
      <c r="C28" s="3"/>
      <c r="D28" s="3"/>
      <c r="E28" s="3"/>
      <c r="F28" s="3"/>
      <c r="G28" s="3"/>
      <c r="H28" s="3"/>
    </row>
    <row r="30" spans="2:8" ht="17.25" customHeight="1" x14ac:dyDescent="0.45">
      <c r="B30" s="8" t="s">
        <v>77</v>
      </c>
      <c r="C30" s="8"/>
      <c r="D30" s="8"/>
      <c r="E30" s="7" t="str">
        <f>AB1 &amp; " / " &amp; AB2 &amp; "  bodů"</f>
        <v>0 / 8  bodů</v>
      </c>
      <c r="F30" s="7"/>
    </row>
  </sheetData>
  <mergeCells count="8">
    <mergeCell ref="B27:H28"/>
    <mergeCell ref="B30:D30"/>
    <mergeCell ref="E30:F30"/>
    <mergeCell ref="B2:H2"/>
    <mergeCell ref="B4:H4"/>
    <mergeCell ref="B5:H5"/>
    <mergeCell ref="B6:H6"/>
    <mergeCell ref="B25:H25"/>
  </mergeCells>
  <conditionalFormatting sqref="F15:F22">
    <cfRule type="cellIs" dxfId="7" priority="2" operator="equal">
      <formula>"✓"</formula>
    </cfRule>
    <cfRule type="cellIs" dxfId="6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25"/>
  <sheetViews>
    <sheetView zoomScaleNormal="100" workbookViewId="0">
      <selection activeCell="H12" sqref="H12"/>
    </sheetView>
  </sheetViews>
  <sheetFormatPr defaultColWidth="8.6328125" defaultRowHeight="14.5" x14ac:dyDescent="0.35"/>
  <cols>
    <col min="1" max="1" width="2" customWidth="1"/>
    <col min="2" max="2" width="14" customWidth="1"/>
    <col min="3" max="5" width="12" customWidth="1"/>
    <col min="6" max="6" width="3" customWidth="1"/>
    <col min="7" max="7" width="30" customWidth="1"/>
    <col min="8" max="8" width="14" customWidth="1"/>
    <col min="9" max="9" width="6" customWidth="1"/>
  </cols>
  <sheetData>
    <row r="1" spans="2:28" ht="15" customHeight="1" x14ac:dyDescent="0.35">
      <c r="AB1" s="19">
        <f>COUNTIF(I9:I16,"✓")</f>
        <v>2</v>
      </c>
    </row>
    <row r="2" spans="2:28" ht="21.75" customHeight="1" x14ac:dyDescent="0.55000000000000004">
      <c r="B2" s="6" t="s">
        <v>135</v>
      </c>
      <c r="C2" s="6"/>
      <c r="D2" s="6"/>
      <c r="E2" s="6"/>
      <c r="F2" s="6"/>
      <c r="G2" s="6"/>
      <c r="AB2" s="19">
        <v>8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</row>
    <row r="5" spans="2:28" ht="15" customHeight="1" x14ac:dyDescent="0.35">
      <c r="B5" s="9" t="s">
        <v>136</v>
      </c>
      <c r="C5" s="9"/>
      <c r="D5" s="9"/>
      <c r="E5" s="9"/>
      <c r="F5" s="9"/>
      <c r="G5" s="9"/>
    </row>
    <row r="7" spans="2:28" ht="15" customHeight="1" x14ac:dyDescent="0.35">
      <c r="B7" s="16" t="s">
        <v>137</v>
      </c>
      <c r="G7" s="16" t="s">
        <v>138</v>
      </c>
    </row>
    <row r="8" spans="2:28" ht="15" customHeight="1" x14ac:dyDescent="0.35">
      <c r="B8" s="20" t="s">
        <v>139</v>
      </c>
      <c r="C8" s="20" t="s">
        <v>140</v>
      </c>
      <c r="D8" s="20" t="s">
        <v>141</v>
      </c>
      <c r="E8" s="20" t="s">
        <v>142</v>
      </c>
      <c r="G8" s="20" t="s">
        <v>119</v>
      </c>
      <c r="H8" s="20" t="s">
        <v>121</v>
      </c>
    </row>
    <row r="9" spans="2:28" ht="17.25" customHeight="1" x14ac:dyDescent="0.35">
      <c r="B9" s="21" t="s">
        <v>143</v>
      </c>
      <c r="C9" s="33">
        <v>1450</v>
      </c>
      <c r="D9" s="33">
        <v>680</v>
      </c>
      <c r="E9" s="33">
        <v>320</v>
      </c>
      <c r="G9" s="30" t="s">
        <v>144</v>
      </c>
      <c r="H9" s="34">
        <v>21610</v>
      </c>
      <c r="I9" s="27" t="str">
        <f>IF(H9="","",IF(NOT(_xlfn.ISFORMULA(H9)),"✗",IF(H9=Klíč!A60,"✓","✗")))</f>
        <v>✗</v>
      </c>
    </row>
    <row r="10" spans="2:28" ht="17.25" customHeight="1" x14ac:dyDescent="0.35">
      <c r="B10" s="21" t="s">
        <v>145</v>
      </c>
      <c r="C10" s="33">
        <v>1320</v>
      </c>
      <c r="D10" s="33">
        <v>720</v>
      </c>
      <c r="E10" s="33">
        <v>410</v>
      </c>
      <c r="G10" s="30" t="s">
        <v>146</v>
      </c>
      <c r="H10" s="34">
        <f>SUM(D9:D22)</f>
        <v>10950</v>
      </c>
      <c r="I10" s="27" t="str">
        <f>IF(H10="","",IF(NOT(_xlfn.ISFORMULA(H10)),"✗",IF(H10=Klíč!A61,"✓","✗")))</f>
        <v>✓</v>
      </c>
    </row>
    <row r="11" spans="2:28" ht="17.25" customHeight="1" x14ac:dyDescent="0.35">
      <c r="B11" s="21" t="s">
        <v>147</v>
      </c>
      <c r="C11" s="33">
        <v>1580</v>
      </c>
      <c r="D11" s="33">
        <v>850</v>
      </c>
      <c r="E11" s="33">
        <v>380</v>
      </c>
      <c r="G11" s="30" t="s">
        <v>148</v>
      </c>
      <c r="H11" s="34">
        <f>SUM(E9:E22)</f>
        <v>6040</v>
      </c>
      <c r="I11" s="27" t="str">
        <f>IF(H11="","",IF(NOT(_xlfn.ISFORMULA(H11)),"✗",IF(H11=Klíč!A62,"✓","✗")))</f>
        <v>✓</v>
      </c>
    </row>
    <row r="12" spans="2:28" ht="17.25" customHeight="1" x14ac:dyDescent="0.35">
      <c r="B12" s="21" t="s">
        <v>149</v>
      </c>
      <c r="C12" s="33">
        <v>1280</v>
      </c>
      <c r="D12" s="33">
        <v>590</v>
      </c>
      <c r="E12" s="33">
        <v>290</v>
      </c>
      <c r="G12" s="30" t="s">
        <v>150</v>
      </c>
      <c r="H12" s="34"/>
      <c r="I12" s="27" t="str">
        <f>IF(H12="","",IF(NOT(_xlfn.ISFORMULA(H12)),"✗",IF(H12=Klíč!A63,"✓","✗")))</f>
        <v/>
      </c>
    </row>
    <row r="13" spans="2:28" ht="17.25" customHeight="1" x14ac:dyDescent="0.35">
      <c r="B13" s="21" t="s">
        <v>151</v>
      </c>
      <c r="C13" s="33">
        <v>1820</v>
      </c>
      <c r="D13" s="33">
        <v>920</v>
      </c>
      <c r="E13" s="33">
        <v>540</v>
      </c>
      <c r="G13" s="30" t="s">
        <v>152</v>
      </c>
      <c r="H13" s="34"/>
      <c r="I13" s="27" t="str">
        <f>IF(H13="","",IF(NOT(_xlfn.ISFORMULA(H13)),"✗",IF(H13=Klíč!A64,"✓","✗")))</f>
        <v/>
      </c>
    </row>
    <row r="14" spans="2:28" ht="17.25" customHeight="1" x14ac:dyDescent="0.35">
      <c r="B14" s="21" t="s">
        <v>153</v>
      </c>
      <c r="C14" s="33">
        <v>2150</v>
      </c>
      <c r="D14" s="33">
        <v>1180</v>
      </c>
      <c r="E14" s="33">
        <v>720</v>
      </c>
      <c r="G14" s="30" t="s">
        <v>154</v>
      </c>
      <c r="H14" s="34"/>
      <c r="I14" s="27" t="str">
        <f>IF(H14="","",IF(NOT(_xlfn.ISFORMULA(H14)),"✗",IF(H14=Klíč!A65,"✓","✗")))</f>
        <v/>
      </c>
    </row>
    <row r="15" spans="2:28" ht="17.25" customHeight="1" x14ac:dyDescent="0.35">
      <c r="B15" s="21" t="s">
        <v>155</v>
      </c>
      <c r="C15" s="33">
        <v>980</v>
      </c>
      <c r="D15" s="33">
        <v>450</v>
      </c>
      <c r="E15" s="33">
        <v>280</v>
      </c>
      <c r="G15" s="30" t="s">
        <v>156</v>
      </c>
      <c r="H15" s="34"/>
      <c r="I15" s="27" t="str">
        <f>IF(H15="","",IF(NOT(_xlfn.ISFORMULA(H15)),"✗",IF(H15=Klíč!A66,"✓","✗")))</f>
        <v/>
      </c>
    </row>
    <row r="16" spans="2:28" ht="17.25" customHeight="1" x14ac:dyDescent="0.35">
      <c r="B16" s="21" t="s">
        <v>157</v>
      </c>
      <c r="C16" s="33">
        <v>1390</v>
      </c>
      <c r="D16" s="33">
        <v>710</v>
      </c>
      <c r="E16" s="33">
        <v>350</v>
      </c>
      <c r="G16" s="30" t="s">
        <v>158</v>
      </c>
      <c r="H16" s="34"/>
      <c r="I16" s="27" t="str">
        <f>IF(H16="","",IF(NOT(_xlfn.ISFORMULA(H16)),"✗",IF(H16=Klíč!A67,"✓","✗")))</f>
        <v/>
      </c>
    </row>
    <row r="17" spans="2:9" ht="15" customHeight="1" x14ac:dyDescent="0.35">
      <c r="B17" s="21" t="s">
        <v>145</v>
      </c>
      <c r="C17" s="33">
        <v>1450</v>
      </c>
      <c r="D17" s="33">
        <v>680</v>
      </c>
      <c r="E17" s="33">
        <v>390</v>
      </c>
    </row>
    <row r="18" spans="2:9" ht="15" customHeight="1" x14ac:dyDescent="0.35">
      <c r="B18" s="21" t="s">
        <v>147</v>
      </c>
      <c r="C18" s="33">
        <v>1620</v>
      </c>
      <c r="D18" s="33">
        <v>880</v>
      </c>
      <c r="E18" s="33">
        <v>420</v>
      </c>
    </row>
    <row r="19" spans="2:9" ht="15" customHeight="1" x14ac:dyDescent="0.35">
      <c r="B19" s="21" t="s">
        <v>149</v>
      </c>
      <c r="C19" s="33">
        <v>1340</v>
      </c>
      <c r="D19" s="33">
        <v>620</v>
      </c>
      <c r="E19" s="33">
        <v>310</v>
      </c>
    </row>
    <row r="20" spans="2:9" ht="15" customHeight="1" x14ac:dyDescent="0.35">
      <c r="B20" s="21" t="s">
        <v>151</v>
      </c>
      <c r="C20" s="33">
        <v>1900</v>
      </c>
      <c r="D20" s="33">
        <v>950</v>
      </c>
      <c r="E20" s="33">
        <v>580</v>
      </c>
    </row>
    <row r="21" spans="2:9" ht="15" customHeight="1" x14ac:dyDescent="0.35">
      <c r="B21" s="21" t="s">
        <v>153</v>
      </c>
      <c r="C21" s="33">
        <v>2280</v>
      </c>
      <c r="D21" s="33">
        <v>1240</v>
      </c>
      <c r="E21" s="33">
        <v>760</v>
      </c>
    </row>
    <row r="22" spans="2:9" ht="15" customHeight="1" x14ac:dyDescent="0.35">
      <c r="B22" s="21" t="s">
        <v>155</v>
      </c>
      <c r="C22" s="33">
        <v>1050</v>
      </c>
      <c r="D22" s="33">
        <v>480</v>
      </c>
      <c r="E22" s="33">
        <v>290</v>
      </c>
    </row>
    <row r="25" spans="2:9" ht="17.25" customHeight="1" x14ac:dyDescent="0.45">
      <c r="B25" s="8" t="s">
        <v>77</v>
      </c>
      <c r="C25" s="8"/>
      <c r="D25" s="8"/>
      <c r="E25" s="8"/>
      <c r="F25" s="7" t="str">
        <f>AB1 &amp; " / " &amp; AB2 &amp; "  bodů"</f>
        <v>2 / 8  bodů</v>
      </c>
      <c r="G25" s="7"/>
      <c r="H25" s="7"/>
      <c r="I25" s="7"/>
    </row>
  </sheetData>
  <mergeCells count="5">
    <mergeCell ref="B2:G2"/>
    <mergeCell ref="B4:G4"/>
    <mergeCell ref="B5:G5"/>
    <mergeCell ref="B25:E25"/>
    <mergeCell ref="F25:I25"/>
  </mergeCells>
  <conditionalFormatting sqref="I9:I16">
    <cfRule type="cellIs" dxfId="5" priority="2" operator="equal">
      <formula>"✓"</formula>
    </cfRule>
    <cfRule type="cellIs" dxfId="4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0"/>
  <sheetViews>
    <sheetView tabSelected="1" zoomScaleNormal="100" workbookViewId="0">
      <selection activeCell="E21" sqref="E21"/>
    </sheetView>
  </sheetViews>
  <sheetFormatPr defaultColWidth="8.6328125" defaultRowHeight="14.5" x14ac:dyDescent="0.35"/>
  <cols>
    <col min="1" max="1" width="2" customWidth="1"/>
    <col min="2" max="2" width="6" customWidth="1"/>
    <col min="3" max="3" width="42" customWidth="1"/>
    <col min="4" max="4" width="22" customWidth="1"/>
    <col min="5" max="5" width="14" customWidth="1"/>
    <col min="6" max="6" width="6" customWidth="1"/>
  </cols>
  <sheetData>
    <row r="1" spans="2:28" ht="15" customHeight="1" x14ac:dyDescent="0.35">
      <c r="AB1" s="19">
        <f>COUNTIF(F19:F28,"✓")</f>
        <v>1</v>
      </c>
    </row>
    <row r="2" spans="2:28" ht="21.75" customHeight="1" x14ac:dyDescent="0.55000000000000004">
      <c r="B2" s="6" t="s">
        <v>159</v>
      </c>
      <c r="C2" s="6"/>
      <c r="D2" s="6"/>
      <c r="E2" s="6"/>
      <c r="F2" s="6"/>
      <c r="G2" s="6"/>
      <c r="AB2" s="19">
        <v>10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</row>
    <row r="5" spans="2:28" ht="15" customHeight="1" x14ac:dyDescent="0.35">
      <c r="B5" s="9" t="s">
        <v>160</v>
      </c>
      <c r="C5" s="9"/>
      <c r="D5" s="9"/>
      <c r="E5" s="9"/>
      <c r="F5" s="9"/>
      <c r="G5" s="9"/>
    </row>
    <row r="6" spans="2:28" ht="15" customHeight="1" x14ac:dyDescent="0.35">
      <c r="B6" s="4" t="s">
        <v>161</v>
      </c>
      <c r="C6" s="4"/>
      <c r="D6" s="4"/>
      <c r="E6" s="4"/>
      <c r="F6" s="4"/>
      <c r="G6" s="4"/>
    </row>
    <row r="8" spans="2:28" ht="15" customHeight="1" x14ac:dyDescent="0.35">
      <c r="B8" s="20" t="s">
        <v>139</v>
      </c>
      <c r="C8" s="20" t="s">
        <v>162</v>
      </c>
      <c r="D8" s="20" t="s">
        <v>163</v>
      </c>
      <c r="E8" s="20" t="s">
        <v>164</v>
      </c>
      <c r="F8" s="20" t="s">
        <v>165</v>
      </c>
    </row>
    <row r="9" spans="2:28" ht="15" customHeight="1" x14ac:dyDescent="0.35">
      <c r="B9" s="21" t="s">
        <v>166</v>
      </c>
      <c r="C9" s="22">
        <v>22</v>
      </c>
      <c r="D9" s="22">
        <v>24</v>
      </c>
      <c r="E9" s="22">
        <v>21</v>
      </c>
      <c r="F9" s="22">
        <v>23</v>
      </c>
    </row>
    <row r="10" spans="2:28" ht="15" customHeight="1" x14ac:dyDescent="0.35">
      <c r="B10" s="21" t="s">
        <v>167</v>
      </c>
      <c r="C10" s="22">
        <v>25</v>
      </c>
      <c r="D10" s="22">
        <v>27</v>
      </c>
      <c r="E10" s="22">
        <v>24</v>
      </c>
      <c r="F10" s="22">
        <v>26</v>
      </c>
    </row>
    <row r="11" spans="2:28" ht="15" customHeight="1" x14ac:dyDescent="0.35">
      <c r="B11" s="21" t="s">
        <v>168</v>
      </c>
      <c r="C11" s="22">
        <v>28</v>
      </c>
      <c r="D11" s="22">
        <v>29</v>
      </c>
      <c r="E11" s="22">
        <v>27</v>
      </c>
      <c r="F11" s="22">
        <v>28</v>
      </c>
    </row>
    <row r="12" spans="2:28" ht="15" customHeight="1" x14ac:dyDescent="0.35">
      <c r="B12" s="21" t="s">
        <v>169</v>
      </c>
      <c r="C12" s="22">
        <v>31</v>
      </c>
      <c r="D12" s="22">
        <v>32</v>
      </c>
      <c r="E12" s="22">
        <v>30</v>
      </c>
      <c r="F12" s="22">
        <v>30</v>
      </c>
    </row>
    <row r="13" spans="2:28" ht="15" customHeight="1" x14ac:dyDescent="0.35">
      <c r="B13" s="21" t="s">
        <v>170</v>
      </c>
      <c r="C13" s="22">
        <v>29</v>
      </c>
      <c r="D13" s="22">
        <v>30</v>
      </c>
      <c r="E13" s="22">
        <v>28</v>
      </c>
      <c r="F13" s="22">
        <v>29</v>
      </c>
    </row>
    <row r="14" spans="2:28" ht="15" customHeight="1" x14ac:dyDescent="0.35">
      <c r="B14" s="21" t="s">
        <v>171</v>
      </c>
      <c r="C14" s="22">
        <v>24</v>
      </c>
      <c r="D14" s="22">
        <v>25</v>
      </c>
      <c r="E14" s="22">
        <v>23</v>
      </c>
      <c r="F14" s="22">
        <v>24</v>
      </c>
    </row>
    <row r="15" spans="2:28" ht="15" customHeight="1" x14ac:dyDescent="0.35">
      <c r="B15" s="21" t="s">
        <v>172</v>
      </c>
      <c r="C15" s="22">
        <v>19</v>
      </c>
      <c r="D15" s="22">
        <v>20</v>
      </c>
      <c r="E15" s="22">
        <v>18</v>
      </c>
      <c r="F15" s="22">
        <v>19</v>
      </c>
    </row>
    <row r="17" spans="2:6" ht="15" customHeight="1" x14ac:dyDescent="0.35">
      <c r="B17" s="24" t="s">
        <v>173</v>
      </c>
    </row>
    <row r="18" spans="2:6" ht="15" customHeight="1" x14ac:dyDescent="0.35">
      <c r="B18" s="20" t="s">
        <v>81</v>
      </c>
      <c r="C18" s="20" t="s">
        <v>174</v>
      </c>
      <c r="D18" s="20" t="s">
        <v>121</v>
      </c>
      <c r="E18" s="20" t="s">
        <v>83</v>
      </c>
    </row>
    <row r="19" spans="2:6" ht="17.25" customHeight="1" x14ac:dyDescent="0.35">
      <c r="B19" s="28" t="s">
        <v>84</v>
      </c>
      <c r="C19" s="30" t="s">
        <v>175</v>
      </c>
      <c r="D19" s="35">
        <v>25</v>
      </c>
      <c r="E19" s="36"/>
      <c r="F19" s="27" t="str">
        <f>IF(AND(D19="",E19=""),"",IF(OR(NOT(_xlfn.ISFORMULA(D19)),NOT(_xlfn.ISFORMULA(E19))),"✗",IF(AND(ROUND(D19,2)=ROUND(Klíč!A80,2),ROUND(E19,2)=ROUND(Klíč!A80,2)),"✓","✗")))</f>
        <v>✗</v>
      </c>
    </row>
    <row r="20" spans="2:6" ht="17.25" customHeight="1" x14ac:dyDescent="0.35">
      <c r="B20" s="28" t="s">
        <v>86</v>
      </c>
      <c r="C20" s="30" t="s">
        <v>176</v>
      </c>
      <c r="D20" s="35">
        <f>MAX(D9:D15)</f>
        <v>32</v>
      </c>
      <c r="E20" s="36">
        <f>D20</f>
        <v>32</v>
      </c>
      <c r="F20" s="27" t="str">
        <f>IF(AND(D20="",E20=""),"",IF(OR(NOT(_xlfn.ISFORMULA(D20)),NOT(_xlfn.ISFORMULA(E20))),"✗",IF(AND(ROUND(D20,2)=ROUND(Klíč!A81,2),ROUND(E20,2)=ROUND(Klíč!A81,2)),"✓","✗")))</f>
        <v>✓</v>
      </c>
    </row>
    <row r="21" spans="2:6" ht="17.25" customHeight="1" x14ac:dyDescent="0.35">
      <c r="B21" s="28" t="s">
        <v>88</v>
      </c>
      <c r="C21" s="30" t="s">
        <v>177</v>
      </c>
      <c r="D21" s="35"/>
      <c r="E21" s="36"/>
      <c r="F21" s="27" t="str">
        <f>IF(AND(D21="",E21=""),"",IF(OR(NOT(_xlfn.ISFORMULA(D21)),NOT(_xlfn.ISFORMULA(E21))),"✗",IF(AND(ROUND(D21,2)=ROUND(Klíč!A82,2),ROUND(E21,2)=ROUND(Klíč!A82,2)),"✓","✗")))</f>
        <v/>
      </c>
    </row>
    <row r="22" spans="2:6" ht="17.25" customHeight="1" x14ac:dyDescent="0.35">
      <c r="B22" s="28" t="s">
        <v>90</v>
      </c>
      <c r="C22" s="30" t="s">
        <v>178</v>
      </c>
      <c r="D22" s="35"/>
      <c r="E22" s="36"/>
      <c r="F22" s="27" t="str">
        <f>IF(AND(D22="",E22=""),"",IF(OR(NOT(_xlfn.ISFORMULA(D22)),NOT(_xlfn.ISFORMULA(E22))),"✗",IF(AND(ROUND(D22,2)=ROUND(Klíč!A83,2),ROUND(E22,2)=ROUND(Klíč!A83,2)),"✓","✗")))</f>
        <v/>
      </c>
    </row>
    <row r="23" spans="2:6" ht="17.25" customHeight="1" x14ac:dyDescent="0.35">
      <c r="B23" s="28" t="s">
        <v>92</v>
      </c>
      <c r="C23" s="30" t="s">
        <v>179</v>
      </c>
      <c r="D23" s="35"/>
      <c r="E23" s="36"/>
      <c r="F23" s="27" t="str">
        <f>IF(AND(D23="",E23=""),"",IF(OR(NOT(_xlfn.ISFORMULA(D23)),NOT(_xlfn.ISFORMULA(E23))),"✗",IF(AND(ROUND(D23,2)=ROUND(Klíč!A84,2),ROUND(E23,2)=ROUND(Klíč!A84,2)),"✓","✗")))</f>
        <v/>
      </c>
    </row>
    <row r="24" spans="2:6" ht="17.25" customHeight="1" x14ac:dyDescent="0.35">
      <c r="B24" s="28" t="s">
        <v>94</v>
      </c>
      <c r="C24" s="30" t="s">
        <v>180</v>
      </c>
      <c r="D24" s="35"/>
      <c r="E24" s="36"/>
      <c r="F24" s="27" t="str">
        <f>IF(AND(D24="",E24=""),"",IF(OR(NOT(_xlfn.ISFORMULA(D24)),NOT(_xlfn.ISFORMULA(E24))),"✗",IF(AND(ROUND(D24,2)=ROUND(Klíč!A85,2),ROUND(E24,2)=ROUND(Klíč!A85,2)),"✓","✗")))</f>
        <v/>
      </c>
    </row>
    <row r="25" spans="2:6" ht="17.25" customHeight="1" x14ac:dyDescent="0.35">
      <c r="B25" s="28" t="s">
        <v>96</v>
      </c>
      <c r="C25" s="30" t="s">
        <v>181</v>
      </c>
      <c r="D25" s="35"/>
      <c r="E25" s="36"/>
      <c r="F25" s="27" t="str">
        <f>IF(AND(D25="",E25=""),"",IF(OR(NOT(_xlfn.ISFORMULA(D25)),NOT(_xlfn.ISFORMULA(E25))),"✗",IF(AND(ROUND(D25,2)=ROUND(Klíč!A86,2),ROUND(E25,2)=ROUND(Klíč!A86,2)),"✓","✗")))</f>
        <v/>
      </c>
    </row>
    <row r="26" spans="2:6" ht="17.25" customHeight="1" x14ac:dyDescent="0.35">
      <c r="B26" s="28" t="s">
        <v>98</v>
      </c>
      <c r="C26" s="30" t="s">
        <v>182</v>
      </c>
      <c r="D26" s="35"/>
      <c r="E26" s="36"/>
      <c r="F26" s="27" t="str">
        <f>IF(AND(D26="",E26=""),"",IF(OR(NOT(_xlfn.ISFORMULA(D26)),NOT(_xlfn.ISFORMULA(E26))),"✗",IF(AND(ROUND(D26,2)=ROUND(Klíč!A87,2),ROUND(E26,2)=ROUND(Klíč!A87,2)),"✓","✗")))</f>
        <v/>
      </c>
    </row>
    <row r="27" spans="2:6" ht="17.25" customHeight="1" x14ac:dyDescent="0.35">
      <c r="B27" s="28" t="s">
        <v>100</v>
      </c>
      <c r="C27" s="30" t="s">
        <v>183</v>
      </c>
      <c r="D27" s="35"/>
      <c r="E27" s="36"/>
      <c r="F27" s="27" t="str">
        <f>IF(AND(D27="",E27=""),"",IF(OR(NOT(_xlfn.ISFORMULA(D27)),NOT(_xlfn.ISFORMULA(E27))),"✗",IF(AND(ROUND(D27,2)=ROUND(Klíč!A88,2),ROUND(E27,2)=ROUND(Klíč!A88,2)),"✓","✗")))</f>
        <v/>
      </c>
    </row>
    <row r="28" spans="2:6" ht="17.25" customHeight="1" x14ac:dyDescent="0.35">
      <c r="B28" s="28" t="s">
        <v>102</v>
      </c>
      <c r="C28" s="30" t="s">
        <v>184</v>
      </c>
      <c r="D28" s="35"/>
      <c r="E28" s="36"/>
      <c r="F28" s="27" t="str">
        <f>IF(AND(D28="",E28=""),"",IF(OR(NOT(_xlfn.ISFORMULA(D28)),NOT(_xlfn.ISFORMULA(E28))),"✗",IF(AND(ROUND(D28,2)=ROUND(Klíč!A89,2),ROUND(E28,2)=ROUND(Klíč!A89,2)),"✓","✗")))</f>
        <v/>
      </c>
    </row>
    <row r="30" spans="2:6" ht="17.25" customHeight="1" x14ac:dyDescent="0.45">
      <c r="B30" s="8" t="s">
        <v>77</v>
      </c>
      <c r="C30" s="8"/>
      <c r="D30" s="8"/>
      <c r="E30" s="7" t="str">
        <f>AB1 &amp; " / " &amp; AB2 &amp; "  bodů"</f>
        <v>1 / 10  bodů</v>
      </c>
      <c r="F30" s="7"/>
    </row>
  </sheetData>
  <mergeCells count="6">
    <mergeCell ref="B2:G2"/>
    <mergeCell ref="B4:G4"/>
    <mergeCell ref="B5:G5"/>
    <mergeCell ref="B6:G6"/>
    <mergeCell ref="B30:D30"/>
    <mergeCell ref="E30:F30"/>
  </mergeCells>
  <conditionalFormatting sqref="F19:F28">
    <cfRule type="cellIs" dxfId="3" priority="2" operator="equal">
      <formula>"✓"</formula>
    </cfRule>
    <cfRule type="cellIs" dxfId="2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5"/>
  <sheetViews>
    <sheetView zoomScaleNormal="100" workbookViewId="0"/>
  </sheetViews>
  <sheetFormatPr defaultColWidth="8.6328125" defaultRowHeight="14.5" x14ac:dyDescent="0.35"/>
  <cols>
    <col min="1" max="1" width="2" customWidth="1"/>
    <col min="2" max="2" width="12" customWidth="1"/>
    <col min="3" max="7" width="14" customWidth="1"/>
    <col min="8" max="8" width="6" customWidth="1"/>
  </cols>
  <sheetData>
    <row r="1" spans="2:28" ht="15" customHeight="1" x14ac:dyDescent="0.35">
      <c r="AB1" s="19">
        <f>COUNTIF(G20:G27,"✓")</f>
        <v>0</v>
      </c>
    </row>
    <row r="2" spans="2:28" ht="21.75" customHeight="1" x14ac:dyDescent="0.55000000000000004">
      <c r="B2" s="6" t="s">
        <v>185</v>
      </c>
      <c r="C2" s="6"/>
      <c r="D2" s="6"/>
      <c r="E2" s="6"/>
      <c r="F2" s="6"/>
      <c r="G2" s="6"/>
      <c r="H2" s="6"/>
      <c r="AB2" s="19">
        <v>8</v>
      </c>
    </row>
    <row r="4" spans="2:28" ht="15" customHeight="1" x14ac:dyDescent="0.35">
      <c r="B4" s="5" t="s">
        <v>44</v>
      </c>
      <c r="C4" s="5"/>
      <c r="D4" s="5"/>
      <c r="E4" s="5"/>
      <c r="F4" s="5"/>
      <c r="G4" s="5"/>
      <c r="H4" s="5"/>
    </row>
    <row r="5" spans="2:28" ht="15" customHeight="1" x14ac:dyDescent="0.35">
      <c r="B5" s="9" t="s">
        <v>186</v>
      </c>
      <c r="C5" s="9"/>
      <c r="D5" s="9"/>
      <c r="E5" s="9"/>
      <c r="F5" s="9"/>
      <c r="G5" s="9"/>
      <c r="H5" s="9"/>
    </row>
    <row r="6" spans="2:28" ht="15" customHeight="1" x14ac:dyDescent="0.35">
      <c r="B6" s="9" t="s">
        <v>187</v>
      </c>
      <c r="C6" s="9"/>
      <c r="D6" s="9"/>
      <c r="E6" s="9"/>
      <c r="F6" s="9"/>
      <c r="G6" s="9"/>
      <c r="H6" s="9"/>
    </row>
    <row r="8" spans="2:28" ht="15" customHeight="1" x14ac:dyDescent="0.35">
      <c r="B8" s="20" t="s">
        <v>188</v>
      </c>
      <c r="C8" s="20" t="s">
        <v>189</v>
      </c>
      <c r="D8" s="20" t="s">
        <v>190</v>
      </c>
      <c r="E8" s="20" t="s">
        <v>191</v>
      </c>
      <c r="F8" s="20" t="s">
        <v>192</v>
      </c>
      <c r="G8" s="20" t="s">
        <v>193</v>
      </c>
    </row>
    <row r="9" spans="2:28" ht="15" customHeight="1" x14ac:dyDescent="0.35">
      <c r="B9" s="21" t="s">
        <v>194</v>
      </c>
      <c r="C9" s="22">
        <v>11.8</v>
      </c>
      <c r="D9" s="22">
        <v>6.85</v>
      </c>
      <c r="E9" s="22">
        <v>12.5</v>
      </c>
      <c r="F9" s="22">
        <v>1.85</v>
      </c>
      <c r="G9" s="22">
        <v>285</v>
      </c>
    </row>
    <row r="10" spans="2:28" ht="15" customHeight="1" x14ac:dyDescent="0.35">
      <c r="B10" s="21" t="s">
        <v>195</v>
      </c>
      <c r="C10" s="22">
        <v>12.2</v>
      </c>
      <c r="D10" s="22">
        <v>6.5</v>
      </c>
      <c r="E10" s="22">
        <v>13.2</v>
      </c>
      <c r="F10" s="22">
        <v>1.78</v>
      </c>
      <c r="G10" s="22">
        <v>295</v>
      </c>
    </row>
    <row r="11" spans="2:28" ht="15" customHeight="1" x14ac:dyDescent="0.35">
      <c r="B11" s="21" t="s">
        <v>196</v>
      </c>
      <c r="C11" s="22">
        <v>11.5</v>
      </c>
      <c r="D11" s="22">
        <v>7.1</v>
      </c>
      <c r="E11" s="22">
        <v>11.8</v>
      </c>
      <c r="F11" s="22">
        <v>1.92</v>
      </c>
      <c r="G11" s="22">
        <v>278</v>
      </c>
    </row>
    <row r="12" spans="2:28" ht="15" customHeight="1" x14ac:dyDescent="0.35">
      <c r="B12" s="21" t="s">
        <v>197</v>
      </c>
      <c r="C12" s="22">
        <v>12.5</v>
      </c>
      <c r="D12" s="22">
        <v>6.2</v>
      </c>
      <c r="E12" s="22">
        <v>14</v>
      </c>
      <c r="F12" s="22">
        <v>1.75</v>
      </c>
      <c r="G12" s="22">
        <v>310</v>
      </c>
    </row>
    <row r="13" spans="2:28" ht="15" customHeight="1" x14ac:dyDescent="0.35">
      <c r="B13" s="21" t="s">
        <v>198</v>
      </c>
      <c r="C13" s="22">
        <v>11.9</v>
      </c>
      <c r="D13" s="22">
        <v>6.95</v>
      </c>
      <c r="E13" s="22">
        <v>13.5</v>
      </c>
      <c r="F13" s="22">
        <v>1.88</v>
      </c>
      <c r="G13" s="22">
        <v>290</v>
      </c>
    </row>
    <row r="14" spans="2:28" ht="15" customHeight="1" x14ac:dyDescent="0.35">
      <c r="B14" s="21" t="s">
        <v>199</v>
      </c>
      <c r="C14" s="22">
        <v>12</v>
      </c>
      <c r="D14" s="22">
        <v>6.75</v>
      </c>
      <c r="E14" s="22">
        <v>12.8</v>
      </c>
      <c r="F14" s="22">
        <v>1.82</v>
      </c>
      <c r="G14" s="22">
        <v>298</v>
      </c>
    </row>
    <row r="15" spans="2:28" ht="15" customHeight="1" x14ac:dyDescent="0.35">
      <c r="B15" s="21" t="s">
        <v>200</v>
      </c>
      <c r="C15" s="22">
        <v>11.7</v>
      </c>
      <c r="D15" s="22">
        <v>7.05</v>
      </c>
      <c r="E15" s="22">
        <v>13</v>
      </c>
      <c r="F15" s="22">
        <v>1.9</v>
      </c>
      <c r="G15" s="22">
        <v>282</v>
      </c>
    </row>
    <row r="16" spans="2:28" ht="15" customHeight="1" x14ac:dyDescent="0.35">
      <c r="B16" s="21" t="s">
        <v>201</v>
      </c>
      <c r="C16" s="22">
        <v>12.3</v>
      </c>
      <c r="D16" s="22">
        <v>6.4</v>
      </c>
      <c r="E16" s="22">
        <v>13.8</v>
      </c>
      <c r="F16" s="22">
        <v>1.8</v>
      </c>
      <c r="G16" s="22">
        <v>305</v>
      </c>
    </row>
    <row r="18" spans="2:8" ht="15" customHeight="1" x14ac:dyDescent="0.35">
      <c r="B18" s="24" t="s">
        <v>56</v>
      </c>
    </row>
    <row r="19" spans="2:8" ht="15" customHeight="1" x14ac:dyDescent="0.35">
      <c r="B19" s="20" t="s">
        <v>81</v>
      </c>
      <c r="C19" s="20" t="s">
        <v>119</v>
      </c>
      <c r="D19" s="20" t="s">
        <v>202</v>
      </c>
    </row>
    <row r="20" spans="2:8" ht="17.25" customHeight="1" x14ac:dyDescent="0.35">
      <c r="B20" s="28" t="s">
        <v>84</v>
      </c>
      <c r="C20" s="2" t="s">
        <v>203</v>
      </c>
      <c r="D20" s="2"/>
      <c r="E20" s="2"/>
      <c r="F20" s="36"/>
      <c r="G20" s="27" t="str">
        <f>IF(F20="","",IF(NOT(_xlfn.ISFORMULA(F20)),"✗",IF(ROUND(F20,2)=ROUND(Klíč!A100,2),"✓","✗")))</f>
        <v/>
      </c>
    </row>
    <row r="21" spans="2:8" ht="17.25" customHeight="1" x14ac:dyDescent="0.35">
      <c r="B21" s="28" t="s">
        <v>86</v>
      </c>
      <c r="C21" s="2" t="s">
        <v>204</v>
      </c>
      <c r="D21" s="2"/>
      <c r="E21" s="2"/>
      <c r="F21" s="36"/>
      <c r="G21" s="27" t="str">
        <f>IF(F21="","",IF(NOT(_xlfn.ISFORMULA(F21)),"✗",IF(ROUND(F21,2)=ROUND(Klíč!A101,2),"✓","✗")))</f>
        <v/>
      </c>
    </row>
    <row r="22" spans="2:8" ht="17.25" customHeight="1" x14ac:dyDescent="0.35">
      <c r="B22" s="28" t="s">
        <v>88</v>
      </c>
      <c r="C22" s="2" t="s">
        <v>205</v>
      </c>
      <c r="D22" s="2"/>
      <c r="E22" s="2"/>
      <c r="F22" s="36"/>
      <c r="G22" s="27" t="str">
        <f>IF(F22="","",IF(NOT(_xlfn.ISFORMULA(F22)),"✗",IF(ROUND(F22,2)=ROUND(Klíč!A102,2),"✓","✗")))</f>
        <v/>
      </c>
    </row>
    <row r="23" spans="2:8" ht="17.25" customHeight="1" x14ac:dyDescent="0.35">
      <c r="B23" s="28" t="s">
        <v>90</v>
      </c>
      <c r="C23" s="2" t="s">
        <v>206</v>
      </c>
      <c r="D23" s="2"/>
      <c r="E23" s="2"/>
      <c r="F23" s="36"/>
      <c r="G23" s="27" t="str">
        <f>IF(F23="","",IF(NOT(_xlfn.ISFORMULA(F23)),"✗",IF(ROUND(F23,2)=ROUND(Klíč!A103,2),"✓","✗")))</f>
        <v/>
      </c>
    </row>
    <row r="24" spans="2:8" ht="17.25" customHeight="1" x14ac:dyDescent="0.35">
      <c r="B24" s="28" t="s">
        <v>92</v>
      </c>
      <c r="C24" s="2" t="s">
        <v>207</v>
      </c>
      <c r="D24" s="2"/>
      <c r="E24" s="2"/>
      <c r="F24" s="36"/>
      <c r="G24" s="27" t="str">
        <f>IF(F24="","",IF(NOT(_xlfn.ISFORMULA(F24)),"✗",IF(ROUND(F24,2)=ROUND(Klíč!A104,2),"✓","✗")))</f>
        <v/>
      </c>
    </row>
    <row r="25" spans="2:8" ht="17.25" customHeight="1" x14ac:dyDescent="0.35">
      <c r="B25" s="28" t="s">
        <v>94</v>
      </c>
      <c r="C25" s="2" t="s">
        <v>208</v>
      </c>
      <c r="D25" s="2"/>
      <c r="E25" s="2"/>
      <c r="F25" s="36"/>
      <c r="G25" s="27" t="str">
        <f>IF(F25="","",IF(NOT(_xlfn.ISFORMULA(F25)),"✗",IF(ROUND(F25,2)=ROUND(Klíč!A105,2),"✓","✗")))</f>
        <v/>
      </c>
    </row>
    <row r="26" spans="2:8" ht="17.25" customHeight="1" x14ac:dyDescent="0.35">
      <c r="B26" s="28" t="s">
        <v>96</v>
      </c>
      <c r="C26" s="2" t="s">
        <v>209</v>
      </c>
      <c r="D26" s="2"/>
      <c r="E26" s="2"/>
      <c r="F26" s="36"/>
      <c r="G26" s="27" t="str">
        <f>IF(F26="","",IF(NOT(_xlfn.ISFORMULA(F26)),"✗",IF(ROUND(F26,2)=ROUND(Klíč!A106,2),"✓","✗")))</f>
        <v/>
      </c>
    </row>
    <row r="27" spans="2:8" ht="17.25" customHeight="1" x14ac:dyDescent="0.35">
      <c r="B27" s="28" t="s">
        <v>98</v>
      </c>
      <c r="C27" s="2" t="s">
        <v>210</v>
      </c>
      <c r="D27" s="2"/>
      <c r="E27" s="2"/>
      <c r="F27" s="36"/>
      <c r="G27" s="27" t="str">
        <f>IF(F27="","",IF(NOT(_xlfn.ISFORMULA(F27)),"✗",IF(ROUND(F27,2)=ROUND(Klíč!A107,2),"✓","✗")))</f>
        <v/>
      </c>
    </row>
    <row r="29" spans="2:8" ht="15" customHeight="1" x14ac:dyDescent="0.35">
      <c r="B29" s="1" t="s">
        <v>211</v>
      </c>
      <c r="C29" s="1"/>
      <c r="D29" s="1"/>
      <c r="E29" s="1"/>
      <c r="F29" s="1"/>
      <c r="G29" s="1"/>
      <c r="H29" s="1"/>
    </row>
    <row r="30" spans="2:8" ht="15" customHeight="1" x14ac:dyDescent="0.35">
      <c r="B30" s="9" t="s">
        <v>212</v>
      </c>
      <c r="C30" s="9"/>
      <c r="D30" s="9"/>
      <c r="E30" s="9"/>
      <c r="F30" s="9"/>
      <c r="G30" s="9"/>
      <c r="H30" s="9"/>
    </row>
    <row r="31" spans="2:8" ht="21.75" customHeight="1" x14ac:dyDescent="0.35">
      <c r="B31" s="3"/>
      <c r="C31" s="3"/>
      <c r="D31" s="3"/>
      <c r="E31" s="3"/>
      <c r="F31" s="3"/>
      <c r="G31" s="3"/>
      <c r="H31" s="3"/>
    </row>
    <row r="32" spans="2:8" ht="21.75" customHeight="1" x14ac:dyDescent="0.35">
      <c r="B32" s="3"/>
      <c r="C32" s="3"/>
      <c r="D32" s="3"/>
      <c r="E32" s="3"/>
      <c r="F32" s="3"/>
      <c r="G32" s="3"/>
      <c r="H32" s="3"/>
    </row>
    <row r="33" spans="2:8" ht="21.75" customHeight="1" x14ac:dyDescent="0.35">
      <c r="B33" s="3"/>
      <c r="C33" s="3"/>
      <c r="D33" s="3"/>
      <c r="E33" s="3"/>
      <c r="F33" s="3"/>
      <c r="G33" s="3"/>
      <c r="H33" s="3"/>
    </row>
    <row r="35" spans="2:8" ht="17.25" customHeight="1" x14ac:dyDescent="0.45">
      <c r="B35" s="8" t="s">
        <v>77</v>
      </c>
      <c r="C35" s="8"/>
      <c r="D35" s="8"/>
      <c r="E35" s="7" t="str">
        <f>AB1 &amp; " / " &amp; AB2 &amp; "  bodů"</f>
        <v>0 / 8  bodů</v>
      </c>
      <c r="F35" s="7"/>
      <c r="G35" s="7"/>
    </row>
  </sheetData>
  <mergeCells count="17">
    <mergeCell ref="B35:D35"/>
    <mergeCell ref="E35:G35"/>
    <mergeCell ref="C26:E26"/>
    <mergeCell ref="C27:E27"/>
    <mergeCell ref="B29:H29"/>
    <mergeCell ref="B30:H30"/>
    <mergeCell ref="B31:H33"/>
    <mergeCell ref="C21:E21"/>
    <mergeCell ref="C22:E22"/>
    <mergeCell ref="C23:E23"/>
    <mergeCell ref="C24:E24"/>
    <mergeCell ref="C25:E25"/>
    <mergeCell ref="B2:H2"/>
    <mergeCell ref="B4:H4"/>
    <mergeCell ref="B5:H5"/>
    <mergeCell ref="B6:H6"/>
    <mergeCell ref="C20:E20"/>
  </mergeCells>
  <conditionalFormatting sqref="G20:G27">
    <cfRule type="cellIs" dxfId="1" priority="2" operator="equal">
      <formula>"✓"</formula>
    </cfRule>
    <cfRule type="cellIs" dxfId="0" priority="3" operator="equal">
      <formula>"✗"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7</vt:i4>
      </vt:variant>
    </vt:vector>
  </HeadingPairs>
  <TitlesOfParts>
    <vt:vector size="15" baseType="lpstr">
      <vt:lpstr>Pokyny</vt:lpstr>
      <vt:lpstr>Klíč</vt:lpstr>
      <vt:lpstr>Úkol 1</vt:lpstr>
      <vt:lpstr>Úkol 2</vt:lpstr>
      <vt:lpstr>Úkol 3</vt:lpstr>
      <vt:lpstr>Úkol 4</vt:lpstr>
      <vt:lpstr>Úkol 5</vt:lpstr>
      <vt:lpstr>Úkol 6</vt:lpstr>
      <vt:lpstr>Pokyny!Oblast_tisku</vt:lpstr>
      <vt:lpstr>'Úkol 1'!Oblast_tisku</vt:lpstr>
      <vt:lpstr>'Úkol 2'!Oblast_tisku</vt:lpstr>
      <vt:lpstr>'Úkol 3'!Oblast_tisku</vt:lpstr>
      <vt:lpstr>'Úkol 4'!Oblast_tisku</vt:lpstr>
      <vt:lpstr>'Úkol 5'!Oblast_tisku</vt:lpstr>
      <vt:lpstr>'Úkol 6'!Oblast_tisku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Šenkeřík Filip, Ing.</cp:lastModifiedBy>
  <cp:revision>0</cp:revision>
  <dcterms:created xsi:type="dcterms:W3CDTF">2026-04-28T11:10:35Z</dcterms:created>
  <dcterms:modified xsi:type="dcterms:W3CDTF">2026-05-06T11:24:10Z</dcterms:modified>
  <dc:language>en-US</dc:language>
</cp:coreProperties>
</file>